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Sony\Documents\Björn\Scalextric\"/>
    </mc:Choice>
  </mc:AlternateContent>
  <xr:revisionPtr revIDLastSave="0" documentId="8_{1AAB1975-66BA-44D7-BBBA-53F17D916538}" xr6:coauthVersionLast="47" xr6:coauthVersionMax="47" xr10:uidLastSave="{00000000-0000-0000-0000-000000000000}"/>
  <bookViews>
    <workbookView xWindow="-23136" yWindow="-5802" windowWidth="23232" windowHeight="13872" activeTab="2" xr2:uid="{00000000-000D-0000-FFFF-FFFF00000000}"/>
  </bookViews>
  <sheets>
    <sheet name="Scalextric bandelar" sheetId="1" r:id="rId1"/>
    <sheet name="Översikt" sheetId="2" r:id="rId2"/>
    <sheet name="Master-katalog" sheetId="3" r:id="rId3"/>
    <sheet name="Inventering" sheetId="4" r:id="rId4"/>
    <sheet name="Mappning" sheetId="5" r:id="rId5"/>
    <sheet name="LAY-koder" sheetId="6" r:id="rId6"/>
    <sheet name="Bibliotek buttons-x" sheetId="7" r:id="rId7"/>
    <sheet name="Ej ägda men stödda" sheetId="8" r:id="rId8"/>
    <sheet name="3MF-bibliotek" sheetId="9" r:id="rId9"/>
  </sheets>
  <calcPr calcId="181029"/>
  <fileRecoveryPr repairLoad="1"/>
</workbook>
</file>

<file path=xl/calcChain.xml><?xml version="1.0" encoding="utf-8"?>
<calcChain xmlns="http://schemas.openxmlformats.org/spreadsheetml/2006/main">
  <c r="A17" i="1" l="1"/>
  <c r="M13" i="1"/>
  <c r="M12" i="1"/>
  <c r="N12" i="1" s="1"/>
  <c r="S12" i="1" s="1"/>
  <c r="M11" i="1"/>
  <c r="R11" i="1" s="1"/>
  <c r="M10" i="1"/>
  <c r="M9" i="1"/>
  <c r="M8" i="1"/>
  <c r="R8" i="1" s="1"/>
  <c r="M7" i="1"/>
  <c r="R9" i="1" l="1"/>
  <c r="N10" i="1"/>
  <c r="S10" i="1" s="1"/>
  <c r="R13" i="1"/>
  <c r="N7" i="1"/>
  <c r="S7" i="1" s="1"/>
  <c r="R10" i="1"/>
  <c r="R7" i="1"/>
  <c r="N13" i="1"/>
  <c r="S13" i="1" s="1"/>
  <c r="N11" i="1"/>
  <c r="S11" i="1" s="1"/>
  <c r="O12" i="1"/>
  <c r="Q12" i="1" s="1"/>
  <c r="N9" i="1"/>
  <c r="S9" i="1" s="1"/>
  <c r="O11" i="1"/>
  <c r="Q11" i="1" s="1"/>
  <c r="N8" i="1"/>
  <c r="S8" i="1" s="1"/>
  <c r="O8" i="1"/>
  <c r="Q8" i="1" s="1"/>
  <c r="R12" i="1"/>
  <c r="O13" i="1" l="1"/>
  <c r="Q13" i="1" s="1"/>
  <c r="O10" i="1"/>
  <c r="Q10" i="1" s="1"/>
  <c r="O9" i="1"/>
  <c r="Q9" i="1" s="1"/>
  <c r="O7" i="1"/>
  <c r="Q7" i="1" s="1"/>
</calcChain>
</file>

<file path=xl/sharedStrings.xml><?xml version="1.0" encoding="utf-8"?>
<sst xmlns="http://schemas.openxmlformats.org/spreadsheetml/2006/main" count="2731" uniqueCount="1216">
  <si>
    <t>Antal</t>
  </si>
  <si>
    <t>Bandel</t>
  </si>
  <si>
    <t>Manufacturer</t>
  </si>
  <si>
    <t>Part number</t>
  </si>
  <si>
    <t>Digital trackdesigner number</t>
  </si>
  <si>
    <t>Längd (mm)</t>
  </si>
  <si>
    <t>Vinkel (°)</t>
  </si>
  <si>
    <t>Radie / typ</t>
  </si>
  <si>
    <t>Outside radius (mm) [edge]</t>
  </si>
  <si>
    <t>Inside radius (mm) [edge, optional]</t>
  </si>
  <si>
    <t>Track width used (mm)</t>
  </si>
  <si>
    <t>Lane spacing used (mm)</t>
  </si>
  <si>
    <t>Outer lane slot radius (mm)</t>
  </si>
  <si>
    <t>Inner lane slot radius (mm)</t>
  </si>
  <si>
    <t>Center (between lanes) radius (mm)</t>
  </si>
  <si>
    <t>Notes / sources</t>
  </si>
  <si>
    <t>Arc length @ center radius (mm)</t>
  </si>
  <si>
    <t>Arc length @ outer lane (mm)</t>
  </si>
  <si>
    <t>Arc length @ inner lane (mm)</t>
  </si>
  <si>
    <t>rakor (fulllängd)</t>
  </si>
  <si>
    <t>Scalextric</t>
  </si>
  <si>
    <t>MM / C160</t>
  </si>
  <si>
    <t>C8205</t>
  </si>
  <si>
    <t>Rak</t>
  </si>
  <si>
    <t>x-rakor (fulllängd)</t>
  </si>
  <si>
    <t>00686 / 111117</t>
  </si>
  <si>
    <t>C8006</t>
  </si>
  <si>
    <t>Crossover</t>
  </si>
  <si>
    <t>prejningsrakor (fulllängd)</t>
  </si>
  <si>
    <t>C178</t>
  </si>
  <si>
    <t>C8005</t>
  </si>
  <si>
    <t>Skid chicane</t>
  </si>
  <si>
    <t>prejset (fulllängd) gula markeringar</t>
  </si>
  <si>
    <t>PT174</t>
  </si>
  <si>
    <t>C8031</t>
  </si>
  <si>
    <t>Chicane</t>
  </si>
  <si>
    <t>täta spår (fulllängd) gula markeringar</t>
  </si>
  <si>
    <t>PT175</t>
  </si>
  <si>
    <t>C8009</t>
  </si>
  <si>
    <t>Chicane mittdel</t>
  </si>
  <si>
    <t>90° kurva</t>
  </si>
  <si>
    <t>PT56 / 27800</t>
  </si>
  <si>
    <t>C156</t>
  </si>
  <si>
    <t>R1 Inner / Hairpin</t>
  </si>
  <si>
    <t>Outside radius 21.5cm (C.501 Track Plans, inner curve).</t>
  </si>
  <si>
    <t>45° kurva velodrom</t>
  </si>
  <si>
    <t>C187</t>
  </si>
  <si>
    <t>R2 Bankad kurva</t>
  </si>
  <si>
    <t>Banked curve: inside 20.8cm, outside 35.2cm (C.501 Track Plans). Manual angle shown as 60°.</t>
  </si>
  <si>
    <t>45° kurva</t>
  </si>
  <si>
    <t>C1510010 / 00615</t>
  </si>
  <si>
    <t>C151</t>
  </si>
  <si>
    <t>R2Classic R2</t>
  </si>
  <si>
    <t>Outside radius 37.2cm (C.501 Track Plans).</t>
  </si>
  <si>
    <t>22,5° kurva prejspår</t>
  </si>
  <si>
    <t>C179 / 1136</t>
  </si>
  <si>
    <t>C8010</t>
  </si>
  <si>
    <t>R2 Chicane-kurva</t>
  </si>
  <si>
    <t>Curved chicane listed with outside radius 37.2cm (C.501 Track Plans). Angle in manual differs.</t>
  </si>
  <si>
    <t>12,25° kurva skarvdel</t>
  </si>
  <si>
    <t>Hornby Hobbies / SCX</t>
  </si>
  <si>
    <t>C154 / 00680</t>
  </si>
  <si>
    <t>C154</t>
  </si>
  <si>
    <t>R2 Skarvkurva</t>
  </si>
  <si>
    <t>Half standard curve listed with outside radius 37.2cm (C.501 Track Plans).</t>
  </si>
  <si>
    <t>22,5° kurva</t>
  </si>
  <si>
    <t>C153</t>
  </si>
  <si>
    <t>R3 SCX standard</t>
  </si>
  <si>
    <t>Outside radius 52.7cm (C.501 Track Plans, outer curve).</t>
  </si>
  <si>
    <t>22,5° kurva (lång)</t>
  </si>
  <si>
    <t>PT/84</t>
  </si>
  <si>
    <t>C8235</t>
  </si>
  <si>
    <t>R4 Outer outer (PT/84)</t>
  </si>
  <si>
    <t>Outside radius assumed ≈27" (≈686mm) from SlotForum thread 'Radius of Curves'.</t>
  </si>
  <si>
    <t>rak skarvdel 7,75 cm</t>
  </si>
  <si>
    <t>677</t>
  </si>
  <si>
    <t>C8236</t>
  </si>
  <si>
    <t>Kort rak</t>
  </si>
  <si>
    <t>rak skarvdel 8,75 cm</t>
  </si>
  <si>
    <t>REF 3058</t>
  </si>
  <si>
    <t>C8200</t>
  </si>
  <si>
    <t>rak skarvdel (halvlängd)</t>
  </si>
  <si>
    <t>REF C159-0010 / 00674</t>
  </si>
  <si>
    <t>C8207</t>
  </si>
  <si>
    <t>Halvrak</t>
  </si>
  <si>
    <t>3MF-filnamn från nytt bibliotek</t>
  </si>
  <si>
    <t>c160.3mf; c160p.3mf; c8205.3mf; c8205model.3mf; c8205p.3mf; c8205text.3mf; c8205x2.3mf</t>
  </si>
  <si>
    <t>c8006.3mf; c8006p.3mf</t>
  </si>
  <si>
    <t>c8005.3mf; c8005p.3mf</t>
  </si>
  <si>
    <t>c8031a.3mf; c8031ap.3mf; c8031b.3mf; c8031bp.3mf</t>
  </si>
  <si>
    <t>c8009.3mf; c8009p.3mf</t>
  </si>
  <si>
    <t>c156l.3mf; c156lp.3mf; c156r.3mf; c156rp.3mf</t>
  </si>
  <si>
    <t>c151l.3mf; c151lp.3mf; c151r.3mf; c151rp.3mf</t>
  </si>
  <si>
    <t>c8010l.3mf; c8010lp.3mf; c8010r.3mf; c8010rp.3mf</t>
  </si>
  <si>
    <t>c154l.3mf; c154lp.3mf; c154r.3mf; c154rp.3mf</t>
  </si>
  <si>
    <t>c153l.3mf; c153lp.3mf; c153r.3mf; c153rp.3mf</t>
  </si>
  <si>
    <t>c8235l.3mf; c8235lp.3mf; c8235r.3mf; c8235rp.3mf</t>
  </si>
  <si>
    <t>c8236.3mf; c8236p.3mf</t>
  </si>
  <si>
    <t>c8200.3mf; c8200p.3mf</t>
  </si>
  <si>
    <t>c159.3mf; c159p.3mf; c8207.3mf; c8207p.3mf; c8207x2.3mf</t>
  </si>
  <si>
    <t>Scalextric – allomfattande masterfil</t>
  </si>
  <si>
    <t>3MF-uppdatering</t>
  </si>
  <si>
    <t>230 nykonverterade 3MF-filer har mappats till bandelar. Se nya kolumnen i Master-katalog/Scalextric bandelar samt bladet 3MF-bibliotek.</t>
  </si>
  <si>
    <t>Nyckeltal / slutsats</t>
  </si>
  <si>
    <t>Värde</t>
  </si>
  <si>
    <t>Kommentar</t>
  </si>
  <si>
    <t>Totalt antal ägda bandelar</t>
  </si>
  <si>
    <t>Senaste inventering från användaren</t>
  </si>
  <si>
    <t>Antal bandelstyper ägda</t>
  </si>
  <si>
    <t>Räknat på fysisk bandelrad</t>
  </si>
  <si>
    <t>Koder funna i fungerande .lay-exempel</t>
  </si>
  <si>
    <t>Från uppladdad Layouts ZIP</t>
  </si>
  <si>
    <t>Filer i buttons/x-biblioteket</t>
  </si>
  <si>
    <t>Från uppladdad extra-info ZIP</t>
  </si>
  <si>
    <t>Viktig mappning</t>
  </si>
  <si>
    <t>C151→C8206, C153→C8204, C154→C8234</t>
  </si>
  <si>
    <t>Från .x-filernas Frame-namn</t>
  </si>
  <si>
    <t>Problem i tidigare .lay</t>
  </si>
  <si>
    <t>Fel kodfamilj / specialkoder</t>
  </si>
  <si>
    <t>Många äldre fysiska koder måste mappas till interna TD-koder</t>
  </si>
  <si>
    <t>Master-katalog: ägda bandelar + Track Designer-bibliotek</t>
  </si>
  <si>
    <t>Har?</t>
  </si>
  <si>
    <t>Antal ägs</t>
  </si>
  <si>
    <t>Fysisk bandel / funktion</t>
  </si>
  <si>
    <t>Originalnummer</t>
  </si>
  <si>
    <t>Track Designer kod att prova</t>
  </si>
  <si>
    <t>Alternativ / äldre kod</t>
  </si>
  <si>
    <t>Typ</t>
  </si>
  <si>
    <t>Längd mm</t>
  </si>
  <si>
    <t>Vinkel °</t>
  </si>
  <si>
    <t>Radie / geometri</t>
  </si>
  <si>
    <t>Finns i buttons/x?</t>
  </si>
  <si>
    <t>x-fil(er)</t>
  </si>
  <si>
    <t>Frame/mappning från x-fil</t>
  </si>
  <si>
    <t>Förekommer i fungerande .lay?</t>
  </si>
  <si>
    <t>Antal i .lay-exempel</t>
  </si>
  <si>
    <t>Exempel-.lay-filer</t>
  </si>
  <si>
    <t>Monza true-fit</t>
  </si>
  <si>
    <t>Compact-Max</t>
  </si>
  <si>
    <t>Ja</t>
  </si>
  <si>
    <t>Straight</t>
  </si>
  <si>
    <t>c8205.x, c8205model.x, c8205p.x, c8205text.x, c8205x2.x</t>
  </si>
  <si>
    <t>c8205x2-0</t>
  </si>
  <si>
    <t>9 Lane change sections.lay, Cool track in tight area (6ft x 4ft).lay, Creating a layout with a bridge or crossover.lay, Creating your first layout.lay</t>
  </si>
  <si>
    <t>Hög</t>
  </si>
  <si>
    <t>Owned</t>
  </si>
  <si>
    <t>c8205.3mf; c8205model.3mf; c8205p.3mf; c8205text.3mf; c8205x2.3mf; c160.3mf; c160p.3mf</t>
  </si>
  <si>
    <t>C8210 / C8006</t>
  </si>
  <si>
    <t>C8006 (earlier); C8210 in examples</t>
  </si>
  <si>
    <t>Crossover straight</t>
  </si>
  <si>
    <t>c8210.x, c82101.x, c82102.x, c82103.x, c82104.x, c8210l.x, c8210p.x, c8210r.x</t>
  </si>
  <si>
    <t>NoName_3-0</t>
  </si>
  <si>
    <t>Formula One X4.lay, X-treme X3.lay</t>
  </si>
  <si>
    <t>Låg/medel</t>
  </si>
  <si>
    <t>Owned; C8210 appears in .lay examples; C8006 exists in x-files</t>
  </si>
  <si>
    <t>c8210.3mf; c82101.3mf; c82102.3mf; c82103.3mf; c82104.3mf; c8210l.3mf; c8210p.3mf; c8210r.3mf; c8006.3mf; c8006p.3mf</t>
  </si>
  <si>
    <t>Skid/chicane straight</t>
  </si>
  <si>
    <t>c8005.x, c8005p.x</t>
  </si>
  <si>
    <t>c8005-0</t>
  </si>
  <si>
    <t>Nej</t>
  </si>
  <si>
    <t>Owned; exists in x-files/buttons, not in sample layouts</t>
  </si>
  <si>
    <t>PT174 / PT175</t>
  </si>
  <si>
    <t>C8031A+B / C8009</t>
  </si>
  <si>
    <t>C8031 / C8009</t>
  </si>
  <si>
    <t>Chicane straight / centre</t>
  </si>
  <si>
    <t>c8031a.x, c8031ap.x, c8031b.x, c8031bp.x</t>
  </si>
  <si>
    <t>c8031a-0, c8031b-0</t>
  </si>
  <si>
    <t>Owned; C8031 has A/B variants in x-files</t>
  </si>
  <si>
    <t>c8031a.3mf; c8031ap.3mf; c8031b.3mf; c8031bp.3mf; c8009.3mf; c8009p.3mf</t>
  </si>
  <si>
    <t>R1 / inner / hairpin</t>
  </si>
  <si>
    <t>Outer ~215 mm</t>
  </si>
  <si>
    <t>c156l.x, c156lp.x, c156r.x, c156rp.x</t>
  </si>
  <si>
    <t>c156l-0, c156r-0</t>
  </si>
  <si>
    <t>Owned; exists in x-files/buttons</t>
  </si>
  <si>
    <t>Banked curve</t>
  </si>
  <si>
    <t>Okänt</t>
  </si>
  <si>
    <t>Owned; button/model exists</t>
  </si>
  <si>
    <t>C8206</t>
  </si>
  <si>
    <t>R2 45° curve</t>
  </si>
  <si>
    <t>Outer ~372 mm</t>
  </si>
  <si>
    <t>c8206l.x, c8206lorig.x, c8206lp.x, c8206r.x, c8206rp.x, c8206textr.x</t>
  </si>
  <si>
    <t>c8206l-0</t>
  </si>
  <si>
    <t>Owned; x-frame maps C151 -&gt; C8206</t>
  </si>
  <si>
    <t>c8206l.3mf; c8206lorig.3mf; c8206lp.3mf; c8206r.3mf; c8206rp.3mf; c8206textr.3mf; c151l.3mf; c151lp.3mf; c151r.3mf; c151rp.3mf</t>
  </si>
  <si>
    <t>C8010L/R</t>
  </si>
  <si>
    <t>Chicane curve</t>
  </si>
  <si>
    <t>R2-ish</t>
  </si>
  <si>
    <t>c8010l.x, c8010lp.x, c8010r.x, c8010rp.x</t>
  </si>
  <si>
    <t>c8010l-0, c8010r-0</t>
  </si>
  <si>
    <t>Owned; L/R variants in x-files</t>
  </si>
  <si>
    <t>C8234</t>
  </si>
  <si>
    <t>R2 11.25° curve</t>
  </si>
  <si>
    <t>c8234l.x, c8234lp.x, c8234r.x, c8234rp.x</t>
  </si>
  <si>
    <t>9 Lane change sections.lay, Monaco.lay, Silverstone.lay, Tight and Twisting (8ft x 4ft).lay</t>
  </si>
  <si>
    <t>Owned; x-frame maps C154 -&gt; C8234</t>
  </si>
  <si>
    <t>c8234l.3mf; c8234lp.3mf; c8234r.3mf; c8234rp.3mf; c154l.3mf; c154lp.3mf; c154r.3mf; c154rp.3mf</t>
  </si>
  <si>
    <t>C8204</t>
  </si>
  <si>
    <t>R3 22.5° curve</t>
  </si>
  <si>
    <t>Outer ~527 mm</t>
  </si>
  <si>
    <t>c8204l.x, c8204lp.x, c8204r.x, c8204rp.x</t>
  </si>
  <si>
    <t>Daytona.lay, Maximum amount of track in area available.lay, Monaco.lay, Silverstone.lay</t>
  </si>
  <si>
    <t>Owned; x-frame maps C153 -&gt; C8204</t>
  </si>
  <si>
    <t>c8204l.3mf; c8204lp.3mf; c8204r.3mf; c8204rp.3mf; c153l.3mf; c153lp.3mf; c153r.3mf; c153rp.3mf</t>
  </si>
  <si>
    <t>R4 22.5° curve</t>
  </si>
  <si>
    <t>Outer ~686 mm</t>
  </si>
  <si>
    <t>c8235l.x, c8235lp.x, c8235r.x, c8235rp.x</t>
  </si>
  <si>
    <t>9 Lane change sections.lay, Monaco.lay, Tight and Twisting (8ft x 4ft).lay, WRC 2005 Super Special Stage (Greece).lay</t>
  </si>
  <si>
    <t>677 / C157</t>
  </si>
  <si>
    <t>Short straight</t>
  </si>
  <si>
    <t>c8236.x, c8236p.x</t>
  </si>
  <si>
    <t>Daytona.lay, Formula One X4.lay, Tight and Twisting (8ft x 4ft).lay, WRC 2005 Super Special Stage (Greece).lay</t>
  </si>
  <si>
    <t>Owned; x-frame maps C157 -&gt; C8236</t>
  </si>
  <si>
    <t>c8236.3mf; c8236p.3mf; c157.3mf; c157p.3mf</t>
  </si>
  <si>
    <t>REF 3058 / C158</t>
  </si>
  <si>
    <t>Quarter straight</t>
  </si>
  <si>
    <t>c8200.x, c8200p.x</t>
  </si>
  <si>
    <t>Cool track in tight area (6ft x 4ft).lay, Maximum amount of track in area available.lay, Silverstone.lay, Tight and Twisting (8ft x 4ft).lay</t>
  </si>
  <si>
    <t>Owned; x-frame maps C158 -&gt; C8200</t>
  </si>
  <si>
    <t>c8200.3mf; c8200p.3mf; c158.3mf; c158p.3mf</t>
  </si>
  <si>
    <t>Half straight</t>
  </si>
  <si>
    <t>c8207.x, c8207p.x, c8207x2.x</t>
  </si>
  <si>
    <t>c8207x2-0</t>
  </si>
  <si>
    <t>Owned; x-frame maps C159 -&gt; C8207</t>
  </si>
  <si>
    <t>c8207.3mf; c8207p.3mf; c8207x2.3mf; c159.3mf; c159p.3mf</t>
  </si>
  <si>
    <t>Start/powerbase i exempel</t>
  </si>
  <si>
    <t>C7004</t>
  </si>
  <si>
    <t>Power/start</t>
  </si>
  <si>
    <t>Behövs ofta i .lay</t>
  </si>
  <si>
    <t>Kan behövas</t>
  </si>
  <si>
    <t>Förekommer i alla fungerande exempel</t>
  </si>
  <si>
    <t>c7004.3mf</t>
  </si>
  <si>
    <t>R1 Sport 45° / inner curve</t>
  </si>
  <si>
    <t>C8201</t>
  </si>
  <si>
    <t>R1 curve</t>
  </si>
  <si>
    <t>c8201bl.x, c8201br.x, c8201l.x, c8201lp.x, c8201r.x</t>
  </si>
  <si>
    <t>Maximum amount of track in area available.lay, Monaco.lay, Tight and Twisting (8ft x 4ft).lay</t>
  </si>
  <si>
    <t>Låg</t>
  </si>
  <si>
    <t>Medel</t>
  </si>
  <si>
    <t>Finns i bibliotek; ej i din inventering</t>
  </si>
  <si>
    <t>c8201bl.3mf; c8201br.3mf; c8201l.3mf; c8201lp.3mf; c8201r.3mf; c8201rp.3mf</t>
  </si>
  <si>
    <t>R1/R2 curve family</t>
  </si>
  <si>
    <t>C8202</t>
  </si>
  <si>
    <t>C152?</t>
  </si>
  <si>
    <t>Curve</t>
  </si>
  <si>
    <t>c8202bl.x, c8202br.x, c8202l.x, c8202lp.x, c8202r.x</t>
  </si>
  <si>
    <t>Cool track in tight area (6ft x 4ft).lay, Maximum amount of track in area available.lay, Monaco.lay, Silverstone.lay</t>
  </si>
  <si>
    <t>Vanlig i exempel</t>
  </si>
  <si>
    <t>c8202bl.3mf; c8202br.3mf; c8202l.3mf; c8202lp.3mf; c8202r.3mf; c152l.3mf; c152lp.3mf; c152r.3mf; c152rp.3mf; c8202rp.3mf</t>
  </si>
  <si>
    <t>R2 curve family</t>
  </si>
  <si>
    <t>C8203</t>
  </si>
  <si>
    <t>c8203.x, c8203l.x, c8203lp.x, c8203r.x, c8203rp.x</t>
  </si>
  <si>
    <t>9 Lane change sections.lay, Creating a layout with a bridge or crossover.lay, Creating your first layout.lay, Formula One X4.lay</t>
  </si>
  <si>
    <t>Förekommer i bridge/crossover-exempel</t>
  </si>
  <si>
    <t>c8203.3mf; c8203l.3mf; c8203lp.3mf; c8203r.3mf; c8203rp.3mf</t>
  </si>
  <si>
    <t>R2 22,5° Sport</t>
  </si>
  <si>
    <t>C154 internal mapping / C8234</t>
  </si>
  <si>
    <t>11,25°/R2 curve family</t>
  </si>
  <si>
    <t>Du har C154/00680 som mappas hit</t>
  </si>
  <si>
    <t>Pit/crossover A</t>
  </si>
  <si>
    <t>C8246A</t>
  </si>
  <si>
    <t>Pit/crossover</t>
  </si>
  <si>
    <t>c8246al.x, c8246alp.x, c8246ar.x, c8246arp.x, c8246bl.x</t>
  </si>
  <si>
    <t>Finns i exempel, inte i inventering</t>
  </si>
  <si>
    <t>c8246al.3mf; c8246alp.3mf; c8246ar.3mf; c8246arp.3mf</t>
  </si>
  <si>
    <t>Pit/crossover B</t>
  </si>
  <si>
    <t>C8246B</t>
  </si>
  <si>
    <t>c8246bl.3mf; c8246blp.3mf; c8246br.3mf; c8246brp.3mf</t>
  </si>
  <si>
    <t>Bridge/ramp part</t>
  </si>
  <si>
    <t>C7000</t>
  </si>
  <si>
    <t>Bridge</t>
  </si>
  <si>
    <t>c7000.x, c7000p.x</t>
  </si>
  <si>
    <t>9 Lane change sections.lay, Cool track in tight area (6ft x 4ft).lay, Creating a layout with a bridge or crossover.lay, Maximum amount of track in area available.lay</t>
  </si>
  <si>
    <t>Inte i inventering</t>
  </si>
  <si>
    <t>c7000.3mf; c7000p.3mf</t>
  </si>
  <si>
    <t>Bridge/crossover special</t>
  </si>
  <si>
    <t>C7007</t>
  </si>
  <si>
    <t>c7007-17.x, c7007-8204.x, c7007.x, c7007p.x</t>
  </si>
  <si>
    <t>9 Lane change sections.lay, Creating a layout with a bridge or crossover.lay, Maximum amount of track in area available.lay</t>
  </si>
  <si>
    <t>c7007-17.3mf; c7007-8204.3mf; c7007.3mf; c7007p.3mf</t>
  </si>
  <si>
    <t>C7010</t>
  </si>
  <si>
    <t>c7010-18.x, c7010-8204.x, c7010.x, c7010p.x</t>
  </si>
  <si>
    <t>c7010-18.3mf; c7010-8204.3mf; c7010.3mf; c7010p.3mf</t>
  </si>
  <si>
    <t>Bridge support / special</t>
  </si>
  <si>
    <t>C8295</t>
  </si>
  <si>
    <t>Bridge support</t>
  </si>
  <si>
    <t>c8295.x, c8295l.x, c8295lp.x, c8295p.x, c8295r.x</t>
  </si>
  <si>
    <t>Creating a layout with a bridge or crossover.lay</t>
  </si>
  <si>
    <t>c8295.3mf; c8295l.3mf; c8295lp.3mf; c8295p.3mf; c8295r.3mf; c8295rp.3mf</t>
  </si>
  <si>
    <t>Inventering: bandelar du har</t>
  </si>
  <si>
    <t>Fysisk bandel</t>
  </si>
  <si>
    <t>Tidigare TD-nr</t>
  </si>
  <si>
    <t>Intern/rek. TD-kod</t>
  </si>
  <si>
    <t>Radie</t>
  </si>
  <si>
    <t>Mappning mellan gamla/fysiska nummer och Track Designer-interna koder</t>
  </si>
  <si>
    <t>Fysisk/äldre kod</t>
  </si>
  <si>
    <t>Track Designer kod i .lay / intern modell</t>
  </si>
  <si>
    <t>Belägg</t>
  </si>
  <si>
    <t>C160 / MM</t>
  </si>
  <si>
    <t>x-fil c160.x har frame c8205; .lay-exempel använder C8205</t>
  </si>
  <si>
    <t>Rak fullängd</t>
  </si>
  <si>
    <t>C159</t>
  </si>
  <si>
    <t>x-fil c159.x har frame c8207</t>
  </si>
  <si>
    <t>C158 / REF 3058</t>
  </si>
  <si>
    <t>x-fil c158.x har frame c8200</t>
  </si>
  <si>
    <t>Quarter/kort rak</t>
  </si>
  <si>
    <t>C157 / 677</t>
  </si>
  <si>
    <t>x-fil c157.x har frame c8236</t>
  </si>
  <si>
    <t>c151l/r.x har frame c8206l/r; .lay-exempel använder C8206</t>
  </si>
  <si>
    <t>45° R2</t>
  </si>
  <si>
    <t>c153l/r.x har frame c8204l/r</t>
  </si>
  <si>
    <t>22,5° R3</t>
  </si>
  <si>
    <t>c154l/r.x har frame c8234l/r</t>
  </si>
  <si>
    <t>11,25° / R2 family</t>
  </si>
  <si>
    <t>C8210 eller C8006</t>
  </si>
  <si>
    <t>C8210 i fungerande .lay; C8006 finns i x/buttons</t>
  </si>
  <si>
    <t>X-crossover</t>
  </si>
  <si>
    <t>c8005.x finns; ingen .lay-exempelförekomst</t>
  </si>
  <si>
    <t>C8031A/B</t>
  </si>
  <si>
    <t>c8031a/b.x finns</t>
  </si>
  <si>
    <t>Chicane straight left/right</t>
  </si>
  <si>
    <t>c8009.x finns</t>
  </si>
  <si>
    <t>Chicane centre</t>
  </si>
  <si>
    <t>c8010l/r.x finns</t>
  </si>
  <si>
    <t>Koder som förekommer i fungerande .lay-filer</t>
  </si>
  <si>
    <t>Track Designer kod</t>
  </si>
  <si>
    <t>Antal totalt i .lay-exempel</t>
  </si>
  <si>
    <t>Antal filer</t>
  </si>
  <si>
    <t>Exempel på filer</t>
  </si>
  <si>
    <t>9 Lane change sections.lay, Cool track in tight area (6ft x 4ft).lay, Creating a layout with a bridge or crossover.lay, Maximum amount of track in area available.lay, Monaco.lay, Silverstone.lay, Tight and Twisting (8ft x 4ft).lay</t>
  </si>
  <si>
    <t>9 Lane change sections.lay, Cool track in tight area (6ft x 4ft).lay, Creating a layout with a bridge or crossover.lay, Creating your first layout.lay, Daytona.lay, Formula One X4.lay, Grand Prix Set X1 (Oval).lay, Maximum amount of track in area available.lay</t>
  </si>
  <si>
    <t>C7008</t>
  </si>
  <si>
    <t>9 Lane change sections.lay, Cool track in tight area (6ft x 4ft).lay, Maximum amount of track in area available.lay, Monaco.lay, Tight and Twisting (8ft x 4ft).lay</t>
  </si>
  <si>
    <t>C7009</t>
  </si>
  <si>
    <t>9 Lane change sections.lay, Maximum amount of track in area available.lay</t>
  </si>
  <si>
    <t>9 Lane change sections.lay, Cool track in tight area (6ft x 4ft).lay, Creating a layout with a bridge or crossover.lay, Maximum amount of track in area available.lay, Silverstone.lay, Tight and Twisting (8ft x 4ft).lay</t>
  </si>
  <si>
    <t>Cool track in tight area (6ft x 4ft).lay, Maximum amount of track in area available.lay, Silverstone.lay, Tight and Twisting (8ft x 4ft).lay, WRC 2005 Super Special Stage (Greece).lay</t>
  </si>
  <si>
    <t>Cool track in tight area (6ft x 4ft).lay, Maximum amount of track in area available.lay, Monaco.lay, Silverstone.lay, Tight and Twisting (8ft x 4ft).lay, WRC 2005 Super Special Stage (Greece).lay</t>
  </si>
  <si>
    <t>9 Lane change sections.lay, Creating a layout with a bridge or crossover.lay, Creating your first layout.lay, Formula One X4.lay, Grand Prix Set X1 (Oval).lay, Maximum amount of track in area available.lay, Silverstone.lay, Tight and Twisting (8ft x 4ft).lay</t>
  </si>
  <si>
    <t>Daytona.lay, Maximum amount of track in area available.lay, Monaco.lay, Silverstone.lay, Tight and Twisting (8ft x 4ft).lay, WRC 2005 Super Special Stage (Greece).lay</t>
  </si>
  <si>
    <t>9 Lane change sections.lay, Cool track in tight area (6ft x 4ft).lay, Creating a layout with a bridge or crossover.lay, Creating your first layout.lay, Formula One X4.lay, Grand Prix Set X1 (Oval).lay, Maximum amount of track in area available.lay, Monaco.lay</t>
  </si>
  <si>
    <t>9 Lane change sections.lay, Cool track in tight area (6ft x 4ft).lay, Creating a layout with a bridge or crossover.lay, Creating your first layout.lay, Daytona.lay, Grand Prix Set X1 (Oval).lay, Maximum amount of track in area available.lay, Monaco.lay</t>
  </si>
  <si>
    <t>C8210</t>
  </si>
  <si>
    <t>Cool track in tight area (6ft x 4ft).lay, Maximum amount of track in area available.lay, Monaco.lay, Silverstone.lay, Tight and Twisting (8ft x 4ft).lay</t>
  </si>
  <si>
    <t>Filer funna i buttons/.x-biblioteket</t>
  </si>
  <si>
    <t>Kod från filnamn</t>
  </si>
  <si>
    <t>Typ fil</t>
  </si>
  <si>
    <t>Filnamn</t>
  </si>
  <si>
    <t>Frame / intern modell</t>
  </si>
  <si>
    <t>Storlek bytes</t>
  </si>
  <si>
    <t>C151L</t>
  </si>
  <si>
    <t>.x</t>
  </si>
  <si>
    <t>c151l.x</t>
  </si>
  <si>
    <t>C151LP</t>
  </si>
  <si>
    <t>c151lp.x</t>
  </si>
  <si>
    <t>C151R</t>
  </si>
  <si>
    <t>c151r.x</t>
  </si>
  <si>
    <t>c8206r-0</t>
  </si>
  <si>
    <t>C151RP</t>
  </si>
  <si>
    <t>c151rp.x</t>
  </si>
  <si>
    <t>C152L</t>
  </si>
  <si>
    <t>c152l.x</t>
  </si>
  <si>
    <t>c8202l_0-0</t>
  </si>
  <si>
    <t>C152LP</t>
  </si>
  <si>
    <t>c152lp.x</t>
  </si>
  <si>
    <t>C152R</t>
  </si>
  <si>
    <t>c152r.x</t>
  </si>
  <si>
    <t>c8202r_0-0</t>
  </si>
  <si>
    <t>C152RP</t>
  </si>
  <si>
    <t>c152rp.x</t>
  </si>
  <si>
    <t>C153L</t>
  </si>
  <si>
    <t>c153l.x</t>
  </si>
  <si>
    <t>c8204l_0-0</t>
  </si>
  <si>
    <t>C153LP</t>
  </si>
  <si>
    <t>c153lp.x</t>
  </si>
  <si>
    <t>C153R</t>
  </si>
  <si>
    <t>c153r.x</t>
  </si>
  <si>
    <t>c8204r_0-0</t>
  </si>
  <si>
    <t>C153RP</t>
  </si>
  <si>
    <t>c153rp.x</t>
  </si>
  <si>
    <t>C154L</t>
  </si>
  <si>
    <t>c154l.x</t>
  </si>
  <si>
    <t>c8234l_0-0</t>
  </si>
  <si>
    <t>C154LP</t>
  </si>
  <si>
    <t>c154lp.x</t>
  </si>
  <si>
    <t>C154R</t>
  </si>
  <si>
    <t>c154r.x</t>
  </si>
  <si>
    <t>c8234r_0-0</t>
  </si>
  <si>
    <t>C154RP</t>
  </si>
  <si>
    <t>c154rp.x</t>
  </si>
  <si>
    <t>C156L</t>
  </si>
  <si>
    <t>c156l.x</t>
  </si>
  <si>
    <t>c156l-0</t>
  </si>
  <si>
    <t>C156LP</t>
  </si>
  <si>
    <t>c156lp.x</t>
  </si>
  <si>
    <t>C156R</t>
  </si>
  <si>
    <t>c156r.x</t>
  </si>
  <si>
    <t>c156r-0</t>
  </si>
  <si>
    <t>C156RP</t>
  </si>
  <si>
    <t>c156rp.x</t>
  </si>
  <si>
    <t>C157</t>
  </si>
  <si>
    <t>c157.x</t>
  </si>
  <si>
    <t>c8236_0-0</t>
  </si>
  <si>
    <t>C157P</t>
  </si>
  <si>
    <t>c157p.x</t>
  </si>
  <si>
    <t>C158</t>
  </si>
  <si>
    <t>c158.x</t>
  </si>
  <si>
    <t>c8200_0-0</t>
  </si>
  <si>
    <t>C158P</t>
  </si>
  <si>
    <t>c158p.x</t>
  </si>
  <si>
    <t>c159.x</t>
  </si>
  <si>
    <t>c8207_0-0</t>
  </si>
  <si>
    <t>C159P</t>
  </si>
  <si>
    <t>c159p.x</t>
  </si>
  <si>
    <t>C160</t>
  </si>
  <si>
    <t>c160.x</t>
  </si>
  <si>
    <t>c8205-0</t>
  </si>
  <si>
    <t>C160P</t>
  </si>
  <si>
    <t>c160p.x</t>
  </si>
  <si>
    <t>C164</t>
  </si>
  <si>
    <t>c164.x</t>
  </si>
  <si>
    <t>c164-0</t>
  </si>
  <si>
    <t>C164P</t>
  </si>
  <si>
    <t>c164p.x</t>
  </si>
  <si>
    <t>C177</t>
  </si>
  <si>
    <t>c177.x</t>
  </si>
  <si>
    <t>c177-0</t>
  </si>
  <si>
    <t>C177P</t>
  </si>
  <si>
    <t>c177p.x</t>
  </si>
  <si>
    <t>C191</t>
  </si>
  <si>
    <t>c191.x</t>
  </si>
  <si>
    <t>c191-0</t>
  </si>
  <si>
    <t>C191P</t>
  </si>
  <si>
    <t>c191p.x</t>
  </si>
  <si>
    <t>C248</t>
  </si>
  <si>
    <t>c248.x</t>
  </si>
  <si>
    <t>c248-0</t>
  </si>
  <si>
    <t>C248P</t>
  </si>
  <si>
    <t>c248p.x</t>
  </si>
  <si>
    <t>c7000.x</t>
  </si>
  <si>
    <t>C7000P</t>
  </si>
  <si>
    <t>c7000p.x</t>
  </si>
  <si>
    <t>c7004.x</t>
  </si>
  <si>
    <t>NoName_11-0</t>
  </si>
  <si>
    <t>c7007-17.x</t>
  </si>
  <si>
    <t>c7007_17-0</t>
  </si>
  <si>
    <t>c7007-8204.x</t>
  </si>
  <si>
    <t>c7007_8204-0</t>
  </si>
  <si>
    <t>c7007.x</t>
  </si>
  <si>
    <t>C7007P</t>
  </si>
  <si>
    <t>c7007p.x</t>
  </si>
  <si>
    <t>c7008-17.x</t>
  </si>
  <si>
    <t>c7008_17-0</t>
  </si>
  <si>
    <t>c7008-8204.x</t>
  </si>
  <si>
    <t>c7008_8204-0</t>
  </si>
  <si>
    <t>c7008.x</t>
  </si>
  <si>
    <t>C7008P</t>
  </si>
  <si>
    <t>c7008p.x</t>
  </si>
  <si>
    <t>c7009-17.x</t>
  </si>
  <si>
    <t>c7009_17-0</t>
  </si>
  <si>
    <t>c7009-8204.x</t>
  </si>
  <si>
    <t>c7009_8204-0</t>
  </si>
  <si>
    <t>c7009.x</t>
  </si>
  <si>
    <t>C7009P</t>
  </si>
  <si>
    <t>c7009p.x</t>
  </si>
  <si>
    <t>c7010-18.x</t>
  </si>
  <si>
    <t>c7010_17-0</t>
  </si>
  <si>
    <t>c7010-8204.x</t>
  </si>
  <si>
    <t>c7010_8204-0</t>
  </si>
  <si>
    <t>c7010.x</t>
  </si>
  <si>
    <t>C7010P</t>
  </si>
  <si>
    <t>c7010p.x</t>
  </si>
  <si>
    <t>C7014</t>
  </si>
  <si>
    <t>c7014-15-a.x</t>
  </si>
  <si>
    <t>c7014-15-b.x</t>
  </si>
  <si>
    <t>c7014-16-a.x</t>
  </si>
  <si>
    <t>c7014-16-b.x</t>
  </si>
  <si>
    <t>c7014.x</t>
  </si>
  <si>
    <t>C7014A</t>
  </si>
  <si>
    <t>c7014a.x</t>
  </si>
  <si>
    <t>C7014AP</t>
  </si>
  <si>
    <t>c7014ap.x</t>
  </si>
  <si>
    <t>C7014B</t>
  </si>
  <si>
    <t>c7014b.x</t>
  </si>
  <si>
    <t>C7014BENTRY</t>
  </si>
  <si>
    <t>c7014bentry.x</t>
  </si>
  <si>
    <t>C7014BEXIT</t>
  </si>
  <si>
    <t>c7014bexit.x</t>
  </si>
  <si>
    <t>C7014BP</t>
  </si>
  <si>
    <t>c7014bp.x</t>
  </si>
  <si>
    <t>C7015</t>
  </si>
  <si>
    <t>c7015-16-a.x</t>
  </si>
  <si>
    <t>c7015-16-b.x</t>
  </si>
  <si>
    <t>c7015.x</t>
  </si>
  <si>
    <t>C7015A</t>
  </si>
  <si>
    <t>c7015a.x</t>
  </si>
  <si>
    <t>C7015AP</t>
  </si>
  <si>
    <t>c7015ap.x</t>
  </si>
  <si>
    <t>C7015B</t>
  </si>
  <si>
    <t>c7015b.x</t>
  </si>
  <si>
    <t>C7015BENTRY</t>
  </si>
  <si>
    <t>c7015bentry.x</t>
  </si>
  <si>
    <t>C7015BEXIT</t>
  </si>
  <si>
    <t>c7015bexit.x</t>
  </si>
  <si>
    <t>C7015BP</t>
  </si>
  <si>
    <t>c7015bp.x</t>
  </si>
  <si>
    <t>C7016</t>
  </si>
  <si>
    <t>c7016.x</t>
  </si>
  <si>
    <t>C7016P</t>
  </si>
  <si>
    <t>c7016p.x</t>
  </si>
  <si>
    <t>C7017L</t>
  </si>
  <si>
    <t>c7017l.x</t>
  </si>
  <si>
    <t>C7017LP</t>
  </si>
  <si>
    <t>c7017lp.x</t>
  </si>
  <si>
    <t>C7017R</t>
  </si>
  <si>
    <t>c7017r.x</t>
  </si>
  <si>
    <t>C7017RP</t>
  </si>
  <si>
    <t>c7017rp.x</t>
  </si>
  <si>
    <t>C7018</t>
  </si>
  <si>
    <t>c7018.x</t>
  </si>
  <si>
    <t>C7018P</t>
  </si>
  <si>
    <t>c7018p.x</t>
  </si>
  <si>
    <t>C7019L</t>
  </si>
  <si>
    <t>c7019l.x</t>
  </si>
  <si>
    <t>C7019R</t>
  </si>
  <si>
    <t>c7019r.x</t>
  </si>
  <si>
    <t>C7036</t>
  </si>
  <si>
    <t>c7036.x</t>
  </si>
  <si>
    <t>C7036P</t>
  </si>
  <si>
    <t>c7036p.x</t>
  </si>
  <si>
    <t>C7039</t>
  </si>
  <si>
    <t>c7039.x</t>
  </si>
  <si>
    <t>C7039P</t>
  </si>
  <si>
    <t>c7039p.x</t>
  </si>
  <si>
    <t>C70411</t>
  </si>
  <si>
    <t>C70411.x</t>
  </si>
  <si>
    <t>C70412</t>
  </si>
  <si>
    <t>C70412.x</t>
  </si>
  <si>
    <t>C70413</t>
  </si>
  <si>
    <t>C70413.x</t>
  </si>
  <si>
    <t>C70414</t>
  </si>
  <si>
    <t>C70414.x</t>
  </si>
  <si>
    <t>C7444</t>
  </si>
  <si>
    <t>c7444.x</t>
  </si>
  <si>
    <t>C7444P</t>
  </si>
  <si>
    <t>c7444p.x</t>
  </si>
  <si>
    <t>C8004</t>
  </si>
  <si>
    <t>c8004.x</t>
  </si>
  <si>
    <t>c8004-0</t>
  </si>
  <si>
    <t>C8004P</t>
  </si>
  <si>
    <t>c8004p.x</t>
  </si>
  <si>
    <t>c8005.x</t>
  </si>
  <si>
    <t>C8005P</t>
  </si>
  <si>
    <t>c8005p.x</t>
  </si>
  <si>
    <t>c8006.x</t>
  </si>
  <si>
    <t>c8006-0</t>
  </si>
  <si>
    <t>C8006P</t>
  </si>
  <si>
    <t>c8006p.x</t>
  </si>
  <si>
    <t>c8009.x</t>
  </si>
  <si>
    <t>c8009-0</t>
  </si>
  <si>
    <t>C8009P</t>
  </si>
  <si>
    <t>c8009p.x</t>
  </si>
  <si>
    <t>C8010L</t>
  </si>
  <si>
    <t>c8010l.x</t>
  </si>
  <si>
    <t>c8010l-0</t>
  </si>
  <si>
    <t>C8010LP</t>
  </si>
  <si>
    <t>c8010lp.x</t>
  </si>
  <si>
    <t>C8010R</t>
  </si>
  <si>
    <t>c8010r.x</t>
  </si>
  <si>
    <t>c8010r-0</t>
  </si>
  <si>
    <t>C8010RP</t>
  </si>
  <si>
    <t>c8010rp.x</t>
  </si>
  <si>
    <t>C8031A</t>
  </si>
  <si>
    <t>c8031a.x</t>
  </si>
  <si>
    <t>c8031a-0</t>
  </si>
  <si>
    <t>C8031AP</t>
  </si>
  <si>
    <t>c8031ap.x</t>
  </si>
  <si>
    <t>C8031B</t>
  </si>
  <si>
    <t>c8031b.x</t>
  </si>
  <si>
    <t>c8031b-0</t>
  </si>
  <si>
    <t>C8031BP</t>
  </si>
  <si>
    <t>c8031bp.x</t>
  </si>
  <si>
    <t>c8200.x</t>
  </si>
  <si>
    <t>C8200P</t>
  </si>
  <si>
    <t>c8200p.x</t>
  </si>
  <si>
    <t>C8201BL</t>
  </si>
  <si>
    <t>c8201bl.x</t>
  </si>
  <si>
    <t>C8201BR</t>
  </si>
  <si>
    <t>c8201br.x</t>
  </si>
  <si>
    <t>C8201L</t>
  </si>
  <si>
    <t>c8201l.x</t>
  </si>
  <si>
    <t>C8201LP</t>
  </si>
  <si>
    <t>c8201lp.x</t>
  </si>
  <si>
    <t>C8201R</t>
  </si>
  <si>
    <t>c8201r.x</t>
  </si>
  <si>
    <t>C8201RP</t>
  </si>
  <si>
    <t>c8201rp.x</t>
  </si>
  <si>
    <t>C8202BL</t>
  </si>
  <si>
    <t>c8202bl.x</t>
  </si>
  <si>
    <t>C8202BR</t>
  </si>
  <si>
    <t>c8202br.x</t>
  </si>
  <si>
    <t>C8202L</t>
  </si>
  <si>
    <t>c8202l.x</t>
  </si>
  <si>
    <t>C8202LP</t>
  </si>
  <si>
    <t>c8202lp.x</t>
  </si>
  <si>
    <t>C8202R</t>
  </si>
  <si>
    <t>c8202r.x</t>
  </si>
  <si>
    <t>C8202RP</t>
  </si>
  <si>
    <t>c8202rp.x</t>
  </si>
  <si>
    <t>c8203.x</t>
  </si>
  <si>
    <t>c8203-0</t>
  </si>
  <si>
    <t>C8203L</t>
  </si>
  <si>
    <t>c8203l.x</t>
  </si>
  <si>
    <t>C8203LP</t>
  </si>
  <si>
    <t>c8203lp.x</t>
  </si>
  <si>
    <t>C8203R</t>
  </si>
  <si>
    <t>c8203r.x</t>
  </si>
  <si>
    <t>C8203RP</t>
  </si>
  <si>
    <t>c8203rp.x</t>
  </si>
  <si>
    <t>C8204L</t>
  </si>
  <si>
    <t>c8204l.x</t>
  </si>
  <si>
    <t>C8204LP</t>
  </si>
  <si>
    <t>c8204lp.x</t>
  </si>
  <si>
    <t>C8204R</t>
  </si>
  <si>
    <t>c8204r.x</t>
  </si>
  <si>
    <t>C8204RP</t>
  </si>
  <si>
    <t>c8204rp.x</t>
  </si>
  <si>
    <t>c8205.x</t>
  </si>
  <si>
    <t>C8205MODEL</t>
  </si>
  <si>
    <t>c8205model.x</t>
  </si>
  <si>
    <t>C8205P</t>
  </si>
  <si>
    <t>c8205p.x</t>
  </si>
  <si>
    <t>C8205TEXT</t>
  </si>
  <si>
    <t>c8205text.x</t>
  </si>
  <si>
    <t>C8205X2</t>
  </si>
  <si>
    <t>c8205x2.x</t>
  </si>
  <si>
    <t>C8206L</t>
  </si>
  <si>
    <t>c8206l.x</t>
  </si>
  <si>
    <t>C8206LORIG</t>
  </si>
  <si>
    <t>c8206lorig.x</t>
  </si>
  <si>
    <t>C8206LP</t>
  </si>
  <si>
    <t>c8206lp.x</t>
  </si>
  <si>
    <t>C8206R</t>
  </si>
  <si>
    <t>c8206r.x</t>
  </si>
  <si>
    <t>C8206RP</t>
  </si>
  <si>
    <t>c8206rp.x</t>
  </si>
  <si>
    <t>C8206TEXTR</t>
  </si>
  <si>
    <t>c8206textr.x</t>
  </si>
  <si>
    <t>c8207.x</t>
  </si>
  <si>
    <t>C8207P</t>
  </si>
  <si>
    <t>c8207p.x</t>
  </si>
  <si>
    <t>C8207X2</t>
  </si>
  <si>
    <t>c8207x2.x</t>
  </si>
  <si>
    <t>c8210.x</t>
  </si>
  <si>
    <t>C82101</t>
  </si>
  <si>
    <t>c82101.x</t>
  </si>
  <si>
    <t>C82102</t>
  </si>
  <si>
    <t>c82102.x</t>
  </si>
  <si>
    <t>C82103</t>
  </si>
  <si>
    <t>c82103.x</t>
  </si>
  <si>
    <t>C82104</t>
  </si>
  <si>
    <t>c82104.x</t>
  </si>
  <si>
    <t>C8210L</t>
  </si>
  <si>
    <t>c8210l.x</t>
  </si>
  <si>
    <t>C8210P</t>
  </si>
  <si>
    <t>c8210p.x</t>
  </si>
  <si>
    <t>C8210R</t>
  </si>
  <si>
    <t>c8210r.x</t>
  </si>
  <si>
    <t>C8211</t>
  </si>
  <si>
    <t>c8211.x</t>
  </si>
  <si>
    <t>C8211P</t>
  </si>
  <si>
    <t>c8211p.x</t>
  </si>
  <si>
    <t>C8217</t>
  </si>
  <si>
    <t>c8217.x</t>
  </si>
  <si>
    <t>NoName_1-0</t>
  </si>
  <si>
    <t>C8222</t>
  </si>
  <si>
    <t>c8222.x</t>
  </si>
  <si>
    <t>C8222P</t>
  </si>
  <si>
    <t>c8222p.x</t>
  </si>
  <si>
    <t>C8223I</t>
  </si>
  <si>
    <t>c8223i.x</t>
  </si>
  <si>
    <t>C8223IB</t>
  </si>
  <si>
    <t>c8223ib.x</t>
  </si>
  <si>
    <t>C8223IC</t>
  </si>
  <si>
    <t>c8223ic.x</t>
  </si>
  <si>
    <t>C8223O</t>
  </si>
  <si>
    <t>c8223o.x</t>
  </si>
  <si>
    <t>C8223OB</t>
  </si>
  <si>
    <t>c8223ob.x</t>
  </si>
  <si>
    <t>C8223OC</t>
  </si>
  <si>
    <t>c8223oc.x</t>
  </si>
  <si>
    <t>C8224</t>
  </si>
  <si>
    <t>c8224.x</t>
  </si>
  <si>
    <t>c8224_0_0-0</t>
  </si>
  <si>
    <t>C8224L</t>
  </si>
  <si>
    <t>c8224l.x</t>
  </si>
  <si>
    <t>C8224R</t>
  </si>
  <si>
    <t>c8224r.x</t>
  </si>
  <si>
    <t>C8225</t>
  </si>
  <si>
    <t>c8225.x</t>
  </si>
  <si>
    <t>c8225-0</t>
  </si>
  <si>
    <t>C8225L</t>
  </si>
  <si>
    <t>c8225l.x</t>
  </si>
  <si>
    <t>C8225R</t>
  </si>
  <si>
    <t>c8225r.x</t>
  </si>
  <si>
    <t>C8228</t>
  </si>
  <si>
    <t>c8228.x</t>
  </si>
  <si>
    <t>C8228L</t>
  </si>
  <si>
    <t>c8228l.x</t>
  </si>
  <si>
    <t>C8228R</t>
  </si>
  <si>
    <t>c8228r.x</t>
  </si>
  <si>
    <t>C8233II</t>
  </si>
  <si>
    <t>c8233ii.x</t>
  </si>
  <si>
    <t>C8233IO</t>
  </si>
  <si>
    <t>c8233io.x</t>
  </si>
  <si>
    <t>C8233O</t>
  </si>
  <si>
    <t>c8233o.x</t>
  </si>
  <si>
    <t>c8233_0-0</t>
  </si>
  <si>
    <t>C8233OI</t>
  </si>
  <si>
    <t>c8233oi.x</t>
  </si>
  <si>
    <t>C8233OO</t>
  </si>
  <si>
    <t>c8233oo.x</t>
  </si>
  <si>
    <t>C8234L</t>
  </si>
  <si>
    <t>c8234l.x</t>
  </si>
  <si>
    <t>C8234LP</t>
  </si>
  <si>
    <t>c8234lp.x</t>
  </si>
  <si>
    <t>C8234R</t>
  </si>
  <si>
    <t>c8234r.x</t>
  </si>
  <si>
    <t>C8234RP</t>
  </si>
  <si>
    <t>c8234rp.x</t>
  </si>
  <si>
    <t>C8235L</t>
  </si>
  <si>
    <t>c8235l.x</t>
  </si>
  <si>
    <t>C8235LP</t>
  </si>
  <si>
    <t>c8235lp.x</t>
  </si>
  <si>
    <t>C8235R</t>
  </si>
  <si>
    <t>c8235r.x</t>
  </si>
  <si>
    <t>C8235RP</t>
  </si>
  <si>
    <t>c8235rp.x</t>
  </si>
  <si>
    <t>c8236.x</t>
  </si>
  <si>
    <t>C8236P</t>
  </si>
  <si>
    <t>c8236p.x</t>
  </si>
  <si>
    <t>C8238</t>
  </si>
  <si>
    <t>c8238.x</t>
  </si>
  <si>
    <t>c8238-0</t>
  </si>
  <si>
    <t>C8238L</t>
  </si>
  <si>
    <t>c8238l.x</t>
  </si>
  <si>
    <t>C8238R</t>
  </si>
  <si>
    <t>c8238r.x</t>
  </si>
  <si>
    <t>C8239</t>
  </si>
  <si>
    <t>c8239.x</t>
  </si>
  <si>
    <t>NoName_7-0</t>
  </si>
  <si>
    <t>C8239L</t>
  </si>
  <si>
    <t>c8239l.x</t>
  </si>
  <si>
    <t>C8239R</t>
  </si>
  <si>
    <t>c8239r.x</t>
  </si>
  <si>
    <t>C8240</t>
  </si>
  <si>
    <t>c8240.x</t>
  </si>
  <si>
    <t>C8240L</t>
  </si>
  <si>
    <t>c8240l.x</t>
  </si>
  <si>
    <t>C8240R</t>
  </si>
  <si>
    <t>c8240r.x</t>
  </si>
  <si>
    <t>C8246AL</t>
  </si>
  <si>
    <t>c8246al.x</t>
  </si>
  <si>
    <t>C8246ALP</t>
  </si>
  <si>
    <t>c8246alp.x</t>
  </si>
  <si>
    <t>C8246AR</t>
  </si>
  <si>
    <t>c8246ar.x</t>
  </si>
  <si>
    <t>C8246ARP</t>
  </si>
  <si>
    <t>c8246arp.x</t>
  </si>
  <si>
    <t>C8246BL</t>
  </si>
  <si>
    <t>c8246bl.x</t>
  </si>
  <si>
    <t>C8246BLP</t>
  </si>
  <si>
    <t>c8246blp.x</t>
  </si>
  <si>
    <t>C8246BR</t>
  </si>
  <si>
    <t>c8246br.x</t>
  </si>
  <si>
    <t>C8246BRP</t>
  </si>
  <si>
    <t>c8246brp.x</t>
  </si>
  <si>
    <t>C8246L</t>
  </si>
  <si>
    <t>c8246l.x</t>
  </si>
  <si>
    <t>c8246l-0</t>
  </si>
  <si>
    <t>C8246R</t>
  </si>
  <si>
    <t>c8246r.x</t>
  </si>
  <si>
    <t>c8246r-0</t>
  </si>
  <si>
    <t>C8278L</t>
  </si>
  <si>
    <t>c8278l.x</t>
  </si>
  <si>
    <t>C8278LP</t>
  </si>
  <si>
    <t>c8278lp.x</t>
  </si>
  <si>
    <t>C8278R</t>
  </si>
  <si>
    <t>c8278r.x</t>
  </si>
  <si>
    <t>C8278RP</t>
  </si>
  <si>
    <t>c8278rp.x</t>
  </si>
  <si>
    <t>C8279</t>
  </si>
  <si>
    <t>c8279.x</t>
  </si>
  <si>
    <t>c8279-0</t>
  </si>
  <si>
    <t>C8280</t>
  </si>
  <si>
    <t>c8280.x</t>
  </si>
  <si>
    <t>C8280L</t>
  </si>
  <si>
    <t>c8280l.x</t>
  </si>
  <si>
    <t>C8280R</t>
  </si>
  <si>
    <t>c8280r.x</t>
  </si>
  <si>
    <t>C8281</t>
  </si>
  <si>
    <t>c8281.x</t>
  </si>
  <si>
    <t>c8281-0</t>
  </si>
  <si>
    <t>C8281L</t>
  </si>
  <si>
    <t>c8281l.x</t>
  </si>
  <si>
    <t>C8281R</t>
  </si>
  <si>
    <t>c8281r.x</t>
  </si>
  <si>
    <t>C8282</t>
  </si>
  <si>
    <t>c8282.x</t>
  </si>
  <si>
    <t>c8282-0</t>
  </si>
  <si>
    <t>C8282L</t>
  </si>
  <si>
    <t>c8282l.x</t>
  </si>
  <si>
    <t>C8282R</t>
  </si>
  <si>
    <t>c8282r.x</t>
  </si>
  <si>
    <t>c8295.x</t>
  </si>
  <si>
    <t>c8295-0</t>
  </si>
  <si>
    <t>C8295L</t>
  </si>
  <si>
    <t>c8295l.x</t>
  </si>
  <si>
    <t>C8295LP</t>
  </si>
  <si>
    <t>c8295lp.x</t>
  </si>
  <si>
    <t>C8295P</t>
  </si>
  <si>
    <t>c8295p.x</t>
  </si>
  <si>
    <t>C8295R</t>
  </si>
  <si>
    <t>c8295r.x</t>
  </si>
  <si>
    <t>C8295RP</t>
  </si>
  <si>
    <t>c8295rp.x</t>
  </si>
  <si>
    <t>256X206</t>
  </si>
  <si>
    <t>.bmp</t>
  </si>
  <si>
    <t>256x206.bmp</t>
  </si>
  <si>
    <t>256X256</t>
  </si>
  <si>
    <t>256x256.bmp</t>
  </si>
  <si>
    <t>256X768</t>
  </si>
  <si>
    <t>256x768.bmp</t>
  </si>
  <si>
    <t>4CARPBBUTTON1</t>
  </si>
  <si>
    <t>4carpbbutton1.bmp</t>
  </si>
  <si>
    <t>4CARPBBUTTON2</t>
  </si>
  <si>
    <t>4carpbbutton2.bmp</t>
  </si>
  <si>
    <t>4CARPBBUTTON3</t>
  </si>
  <si>
    <t>4carpbbutton3.bmp</t>
  </si>
  <si>
    <t>4CARPBBUTTON4</t>
  </si>
  <si>
    <t>4carpbbutton4.bmp</t>
  </si>
  <si>
    <t>512X256</t>
  </si>
  <si>
    <t>512x256.bmp</t>
  </si>
  <si>
    <t>512X512_BUTTON</t>
  </si>
  <si>
    <t>512x512_button.bmp</t>
  </si>
  <si>
    <t>512X512_C8206</t>
  </si>
  <si>
    <t>512x512_C8206.bmp</t>
  </si>
  <si>
    <t>768X768</t>
  </si>
  <si>
    <t>768x768.bmp</t>
  </si>
  <si>
    <t>8</t>
  </si>
  <si>
    <t>8.bmp</t>
  </si>
  <si>
    <t>8241LOGO</t>
  </si>
  <si>
    <t>8241logo.bmp</t>
  </si>
  <si>
    <t>888</t>
  </si>
  <si>
    <t>888.bmp</t>
  </si>
  <si>
    <t>ARROWBUTTON</t>
  </si>
  <si>
    <t>arrowbutton.bmp</t>
  </si>
  <si>
    <t>c151lp.bmp</t>
  </si>
  <si>
    <t>c151r.bmp</t>
  </si>
  <si>
    <t>c152lp.bmp</t>
  </si>
  <si>
    <t>c152rp.bmp</t>
  </si>
  <si>
    <t>c153lp.bmp</t>
  </si>
  <si>
    <t>c153rp.bmp</t>
  </si>
  <si>
    <t>c154lp.bmp</t>
  </si>
  <si>
    <t>c154rp.bmp</t>
  </si>
  <si>
    <t>c156lp.bmp</t>
  </si>
  <si>
    <t>c156rp.bmp</t>
  </si>
  <si>
    <t>c157p.bmp</t>
  </si>
  <si>
    <t>c158p.bmp</t>
  </si>
  <si>
    <t>c159p.bmp</t>
  </si>
  <si>
    <t>c160p.bmp</t>
  </si>
  <si>
    <t>c164p.bmp</t>
  </si>
  <si>
    <t>c177p.bmp</t>
  </si>
  <si>
    <t>c191p.bmp</t>
  </si>
  <si>
    <t>c248p.bmp</t>
  </si>
  <si>
    <t>c7000p.bmp</t>
  </si>
  <si>
    <t>c7004_512x512_button.bmp</t>
  </si>
  <si>
    <t>C7004ARROWBUTTON</t>
  </si>
  <si>
    <t>c7004arrowbutton.bmp</t>
  </si>
  <si>
    <t>C7004BOTTOMBUTTON</t>
  </si>
  <si>
    <t>c7004bottombutton.bmp</t>
  </si>
  <si>
    <t>C7004STARTBUTTON</t>
  </si>
  <si>
    <t>c7004startbutton.bmp</t>
  </si>
  <si>
    <t>C7004TOPBUTTON</t>
  </si>
  <si>
    <t>c7004topbutton.bmp</t>
  </si>
  <si>
    <t>C7007LP</t>
  </si>
  <si>
    <t>c7007lp.bmp</t>
  </si>
  <si>
    <t>C7008RP</t>
  </si>
  <si>
    <t>c7008rp.bmp</t>
  </si>
  <si>
    <t>C7009LP</t>
  </si>
  <si>
    <t>c7009lp.bmp</t>
  </si>
  <si>
    <t>C7010RP</t>
  </si>
  <si>
    <t>c7010rp.bmp</t>
  </si>
  <si>
    <t>c7014ap.bmp</t>
  </si>
  <si>
    <t>c7014bp.bmp</t>
  </si>
  <si>
    <t>c7015ap.bmp</t>
  </si>
  <si>
    <t>c7015bp.bmp</t>
  </si>
  <si>
    <t>c7016p.bmp</t>
  </si>
  <si>
    <t>c7017lp.bmp</t>
  </si>
  <si>
    <t>c7017rp.bmp</t>
  </si>
  <si>
    <t>c7018p.bmp</t>
  </si>
  <si>
    <t>c7036p.bmp</t>
  </si>
  <si>
    <t>c7039p.bmp</t>
  </si>
  <si>
    <t>c7444p.bmp</t>
  </si>
  <si>
    <t>c8004p.bmp</t>
  </si>
  <si>
    <t>c8005p.bmp</t>
  </si>
  <si>
    <t>c8006p.bmp</t>
  </si>
  <si>
    <t>c8009p.bmp</t>
  </si>
  <si>
    <t>c8010lp.bmp</t>
  </si>
  <si>
    <t>c8010r.bmp</t>
  </si>
  <si>
    <t>C8031P</t>
  </si>
  <si>
    <t>c8031p.bmp</t>
  </si>
  <si>
    <t>c8200p.bmp</t>
  </si>
  <si>
    <t>c8201lp.bmp</t>
  </si>
  <si>
    <t>c8201rp.bmp</t>
  </si>
  <si>
    <t>c8202lp.bmp</t>
  </si>
  <si>
    <t>c8202rp.bmp</t>
  </si>
  <si>
    <t>c8203lp.bmp</t>
  </si>
  <si>
    <t>c8203rp.bmp</t>
  </si>
  <si>
    <t>c8204lp.bmp</t>
  </si>
  <si>
    <t>c8204rp.bmp</t>
  </si>
  <si>
    <t>c8205.bmp</t>
  </si>
  <si>
    <t>C8205TEST</t>
  </si>
  <si>
    <t>c8205test.bmp</t>
  </si>
  <si>
    <t>c8206r.bmp</t>
  </si>
  <si>
    <t>C8206RTEST</t>
  </si>
  <si>
    <t>c8206rtest.bmp</t>
  </si>
  <si>
    <t>c8207p.bmp</t>
  </si>
  <si>
    <t>C8210CENTRE</t>
  </si>
  <si>
    <t>c8210centre.bmp</t>
  </si>
  <si>
    <t>c8210p.bmp</t>
  </si>
  <si>
    <t>C8211FRONT</t>
  </si>
  <si>
    <t>c8211front.bmp</t>
  </si>
  <si>
    <t>c8211p.bmp</t>
  </si>
  <si>
    <t>C8211REAR</t>
  </si>
  <si>
    <t>c8211rear.bmp</t>
  </si>
  <si>
    <t>c8217.bmp</t>
  </si>
  <si>
    <t>c8222p.bmp</t>
  </si>
  <si>
    <t>C8223RUMBLESTRIP</t>
  </si>
  <si>
    <t>c8223rumblestrip.bmp</t>
  </si>
  <si>
    <t>c8234lp.bmp</t>
  </si>
  <si>
    <t>C8234P</t>
  </si>
  <si>
    <t>c8234p.bmp</t>
  </si>
  <si>
    <t>c8234rp.bmp</t>
  </si>
  <si>
    <t>c8235lp.bmp</t>
  </si>
  <si>
    <t>c8235rp.bmp</t>
  </si>
  <si>
    <t>c8236p.bmp</t>
  </si>
  <si>
    <t>C8246AP</t>
  </si>
  <si>
    <t>c8246ap.bmp</t>
  </si>
  <si>
    <t>C8246BP</t>
  </si>
  <si>
    <t>c8246bp.bmp</t>
  </si>
  <si>
    <t>c8278lp.bmp</t>
  </si>
  <si>
    <t>c8278rp.bmp</t>
  </si>
  <si>
    <t>c8295p.bmp</t>
  </si>
  <si>
    <t>EDGE</t>
  </si>
  <si>
    <t>edge.bmp</t>
  </si>
  <si>
    <t>GRAVEL</t>
  </si>
  <si>
    <t>gravel.bmp</t>
  </si>
  <si>
    <t>PLUSBUTTON</t>
  </si>
  <si>
    <t>plusbutton.bmp</t>
  </si>
  <si>
    <t>SHADE</t>
  </si>
  <si>
    <t>shade.bmp</t>
  </si>
  <si>
    <t>SHADE1</t>
  </si>
  <si>
    <t>shade1.bmp</t>
  </si>
  <si>
    <t>STARTBUTTON</t>
  </si>
  <si>
    <t>startbutton.bmp</t>
  </si>
  <si>
    <t>Bandelar/koder som finns i biblioteket eller .lay-exempel men som du inte har inventerat</t>
  </si>
  <si>
    <t>Typ/funktion</t>
  </si>
  <si>
    <t>Förekommer i .lay</t>
  </si>
  <si>
    <t>Antal i .lay</t>
  </si>
  <si>
    <t>3MF-filnamn</t>
  </si>
  <si>
    <t>Käll-x-fil</t>
  </si>
  <si>
    <t>Kod/stam</t>
  </si>
  <si>
    <t>c151l.3mf</t>
  </si>
  <si>
    <t>Konverterad från DirectX .x; roterad Z +90°, därefter Y +90°</t>
  </si>
  <si>
    <t>c151lp.3mf</t>
  </si>
  <si>
    <t>c151r.3mf</t>
  </si>
  <si>
    <t>c151rp.3mf</t>
  </si>
  <si>
    <t>c152l.3mf</t>
  </si>
  <si>
    <t>c152lp.3mf</t>
  </si>
  <si>
    <t>c152r.3mf</t>
  </si>
  <si>
    <t>c152rp.3mf</t>
  </si>
  <si>
    <t>c153l.3mf</t>
  </si>
  <si>
    <t>c153lp.3mf</t>
  </si>
  <si>
    <t>c153r.3mf</t>
  </si>
  <si>
    <t>c153rp.3mf</t>
  </si>
  <si>
    <t>c154l.3mf</t>
  </si>
  <si>
    <t>c154lp.3mf</t>
  </si>
  <si>
    <t>c154r.3mf</t>
  </si>
  <si>
    <t>c154rp.3mf</t>
  </si>
  <si>
    <t>c156l.3mf</t>
  </si>
  <si>
    <t>c156lp.3mf</t>
  </si>
  <si>
    <t>c156r.3mf</t>
  </si>
  <si>
    <t>c156rp.3mf</t>
  </si>
  <si>
    <t>c157.3mf</t>
  </si>
  <si>
    <t>c157p.3mf</t>
  </si>
  <si>
    <t>c158.3mf</t>
  </si>
  <si>
    <t>c158p.3mf</t>
  </si>
  <si>
    <t>c159.3mf</t>
  </si>
  <si>
    <t>c159p.3mf</t>
  </si>
  <si>
    <t>c160.3mf</t>
  </si>
  <si>
    <t>c160p.3mf</t>
  </si>
  <si>
    <t>c164.3mf</t>
  </si>
  <si>
    <t>c164p.3mf</t>
  </si>
  <si>
    <t>c177.3mf</t>
  </si>
  <si>
    <t>c177p.3mf</t>
  </si>
  <si>
    <t>c191.3mf</t>
  </si>
  <si>
    <t>c191p.3mf</t>
  </si>
  <si>
    <t>c248.3mf</t>
  </si>
  <si>
    <t>c248p.3mf</t>
  </si>
  <si>
    <t>c7000.3mf</t>
  </si>
  <si>
    <t>c7000p.3mf</t>
  </si>
  <si>
    <t>c7007-17.3mf</t>
  </si>
  <si>
    <t>C7007-17</t>
  </si>
  <si>
    <t>c7007-8204.3mf</t>
  </si>
  <si>
    <t>C7007-8204</t>
  </si>
  <si>
    <t>c7007.3mf</t>
  </si>
  <si>
    <t>c7007p.3mf</t>
  </si>
  <si>
    <t>c7008-17.3mf</t>
  </si>
  <si>
    <t>C7008-17</t>
  </si>
  <si>
    <t>c7008-8204.3mf</t>
  </si>
  <si>
    <t>C7008-8204</t>
  </si>
  <si>
    <t>c7008.3mf</t>
  </si>
  <si>
    <t>c7008p.3mf</t>
  </si>
  <si>
    <t>c7009-17.3mf</t>
  </si>
  <si>
    <t>C7009-17</t>
  </si>
  <si>
    <t>c7009-8204.3mf</t>
  </si>
  <si>
    <t>C7009-8204</t>
  </si>
  <si>
    <t>c7009.3mf</t>
  </si>
  <si>
    <t>c7009p.3mf</t>
  </si>
  <si>
    <t>c7010-18.3mf</t>
  </si>
  <si>
    <t>C7010-18</t>
  </si>
  <si>
    <t>c7010-8204.3mf</t>
  </si>
  <si>
    <t>C7010-8204</t>
  </si>
  <si>
    <t>c7010.3mf</t>
  </si>
  <si>
    <t>c7010p.3mf</t>
  </si>
  <si>
    <t>c7014-15-a.3mf</t>
  </si>
  <si>
    <t>C7014-15-A</t>
  </si>
  <si>
    <t>c7014-15-b.3mf</t>
  </si>
  <si>
    <t>C7014-15-B</t>
  </si>
  <si>
    <t>c7014-16-a.3mf</t>
  </si>
  <si>
    <t>C7014-16-A</t>
  </si>
  <si>
    <t>c7014-16-b.3mf</t>
  </si>
  <si>
    <t>C7014-16-B</t>
  </si>
  <si>
    <t>c7014.3mf</t>
  </si>
  <si>
    <t>c7014a.3mf</t>
  </si>
  <si>
    <t>c7014ap.3mf</t>
  </si>
  <si>
    <t>c7014b.3mf</t>
  </si>
  <si>
    <t>c7014bentry.3mf</t>
  </si>
  <si>
    <t>c7014bexit.3mf</t>
  </si>
  <si>
    <t>c7014bp.3mf</t>
  </si>
  <si>
    <t>c7015-16-a.3mf</t>
  </si>
  <si>
    <t>C7015-16-A</t>
  </si>
  <si>
    <t>c7015-16-b.3mf</t>
  </si>
  <si>
    <t>C7015-16-B</t>
  </si>
  <si>
    <t>c7015.3mf</t>
  </si>
  <si>
    <t>c7015a.3mf</t>
  </si>
  <si>
    <t>c7015ap.3mf</t>
  </si>
  <si>
    <t>c7015b.3mf</t>
  </si>
  <si>
    <t>c7015bentry.3mf</t>
  </si>
  <si>
    <t>c7015bexit.3mf</t>
  </si>
  <si>
    <t>c7015bp.3mf</t>
  </si>
  <si>
    <t>c7016.3mf</t>
  </si>
  <si>
    <t>c7016p.3mf</t>
  </si>
  <si>
    <t>c7017l.3mf</t>
  </si>
  <si>
    <t>c7017lp.3mf</t>
  </si>
  <si>
    <t>c7017r.3mf</t>
  </si>
  <si>
    <t>c7017rp.3mf</t>
  </si>
  <si>
    <t>c7018.3mf</t>
  </si>
  <si>
    <t>c7018p.3mf</t>
  </si>
  <si>
    <t>c7019l.3mf</t>
  </si>
  <si>
    <t>c7019r.3mf</t>
  </si>
  <si>
    <t>c7036.3mf</t>
  </si>
  <si>
    <t>c7036p.3mf</t>
  </si>
  <si>
    <t>c7039.3mf</t>
  </si>
  <si>
    <t>c7039p.3mf</t>
  </si>
  <si>
    <t>C70411.3mf</t>
  </si>
  <si>
    <t>C70412.3mf</t>
  </si>
  <si>
    <t>C70413.3mf</t>
  </si>
  <si>
    <t>C70414.3mf</t>
  </si>
  <si>
    <t>c7444.3mf</t>
  </si>
  <si>
    <t>c7444p.3mf</t>
  </si>
  <si>
    <t>c8004.3mf</t>
  </si>
  <si>
    <t>c8004p.3mf</t>
  </si>
  <si>
    <t>c8005.3mf</t>
  </si>
  <si>
    <t>c8005p.3mf</t>
  </si>
  <si>
    <t>c8006.3mf</t>
  </si>
  <si>
    <t>c8006p.3mf</t>
  </si>
  <si>
    <t>c8009.3mf</t>
  </si>
  <si>
    <t>c8009p.3mf</t>
  </si>
  <si>
    <t>c8010l.3mf</t>
  </si>
  <si>
    <t>c8010lp.3mf</t>
  </si>
  <si>
    <t>c8010r.3mf</t>
  </si>
  <si>
    <t>c8010rp.3mf</t>
  </si>
  <si>
    <t>c8031a.3mf</t>
  </si>
  <si>
    <t>c8031ap.3mf</t>
  </si>
  <si>
    <t>c8031b.3mf</t>
  </si>
  <si>
    <t>c8031bp.3mf</t>
  </si>
  <si>
    <t>c8200.3mf</t>
  </si>
  <si>
    <t>c8200p.3mf</t>
  </si>
  <si>
    <t>c8201bl.3mf</t>
  </si>
  <si>
    <t>c8201br.3mf</t>
  </si>
  <si>
    <t>c8201l.3mf</t>
  </si>
  <si>
    <t>c8201lp.3mf</t>
  </si>
  <si>
    <t>c8201r.3mf</t>
  </si>
  <si>
    <t>c8201rp.3mf</t>
  </si>
  <si>
    <t>c8202bl.3mf</t>
  </si>
  <si>
    <t>c8202br.3mf</t>
  </si>
  <si>
    <t>c8202l.3mf</t>
  </si>
  <si>
    <t>c8202lp.3mf</t>
  </si>
  <si>
    <t>c8202r.3mf</t>
  </si>
  <si>
    <t>c8202rp.3mf</t>
  </si>
  <si>
    <t>c8203.3mf</t>
  </si>
  <si>
    <t>c8203l.3mf</t>
  </si>
  <si>
    <t>c8203lp.3mf</t>
  </si>
  <si>
    <t>c8203r.3mf</t>
  </si>
  <si>
    <t>c8203rp.3mf</t>
  </si>
  <si>
    <t>c8204l.3mf</t>
  </si>
  <si>
    <t>c8204lp.3mf</t>
  </si>
  <si>
    <t>c8204r.3mf</t>
  </si>
  <si>
    <t>c8204rp.3mf</t>
  </si>
  <si>
    <t>c8205.3mf</t>
  </si>
  <si>
    <t>c8205model.3mf</t>
  </si>
  <si>
    <t>c8205p.3mf</t>
  </si>
  <si>
    <t>c8205text.3mf</t>
  </si>
  <si>
    <t>c8205x2.3mf</t>
  </si>
  <si>
    <t>c8206l.3mf</t>
  </si>
  <si>
    <t>c8206lorig.3mf</t>
  </si>
  <si>
    <t>c8206lp.3mf</t>
  </si>
  <si>
    <t>c8206r.3mf</t>
  </si>
  <si>
    <t>c8206rp.3mf</t>
  </si>
  <si>
    <t>c8206textr.3mf</t>
  </si>
  <si>
    <t>c8207.3mf</t>
  </si>
  <si>
    <t>c8207p.3mf</t>
  </si>
  <si>
    <t>c8207x2.3mf</t>
  </si>
  <si>
    <t>c8210.3mf</t>
  </si>
  <si>
    <t>c82101.3mf</t>
  </si>
  <si>
    <t>c82102.3mf</t>
  </si>
  <si>
    <t>c82103.3mf</t>
  </si>
  <si>
    <t>c82104.3mf</t>
  </si>
  <si>
    <t>c8210l.3mf</t>
  </si>
  <si>
    <t>c8210p.3mf</t>
  </si>
  <si>
    <t>c8210r.3mf</t>
  </si>
  <si>
    <t>c8211.3mf</t>
  </si>
  <si>
    <t>c8211p.3mf</t>
  </si>
  <si>
    <t>c8217.3mf</t>
  </si>
  <si>
    <t>c8222.3mf</t>
  </si>
  <si>
    <t>c8222p.3mf</t>
  </si>
  <si>
    <t>c8223i.3mf</t>
  </si>
  <si>
    <t>c8223ib.3mf</t>
  </si>
  <si>
    <t>c8223ic.3mf</t>
  </si>
  <si>
    <t>c8223o.3mf</t>
  </si>
  <si>
    <t>c8223ob.3mf</t>
  </si>
  <si>
    <t>c8223oc.3mf</t>
  </si>
  <si>
    <t>c8224.3mf</t>
  </si>
  <si>
    <t>c8224l.3mf</t>
  </si>
  <si>
    <t>c8224r.3mf</t>
  </si>
  <si>
    <t>c8225.3mf</t>
  </si>
  <si>
    <t>c8225l.3mf</t>
  </si>
  <si>
    <t>c8225r.3mf</t>
  </si>
  <si>
    <t>c8228.3mf</t>
  </si>
  <si>
    <t>c8228l.3mf</t>
  </si>
  <si>
    <t>c8228r.3mf</t>
  </si>
  <si>
    <t>c8233ii.3mf</t>
  </si>
  <si>
    <t>c8233io.3mf</t>
  </si>
  <si>
    <t>c8233o.3mf</t>
  </si>
  <si>
    <t>c8233oi.3mf</t>
  </si>
  <si>
    <t>c8233oo.3mf</t>
  </si>
  <si>
    <t>c8234l.3mf</t>
  </si>
  <si>
    <t>c8234lp.3mf</t>
  </si>
  <si>
    <t>c8234r.3mf</t>
  </si>
  <si>
    <t>c8234rp.3mf</t>
  </si>
  <si>
    <t>c8235l.3mf</t>
  </si>
  <si>
    <t>c8235lp.3mf</t>
  </si>
  <si>
    <t>c8235r.3mf</t>
  </si>
  <si>
    <t>c8235rp.3mf</t>
  </si>
  <si>
    <t>c8236.3mf</t>
  </si>
  <si>
    <t>c8236p.3mf</t>
  </si>
  <si>
    <t>c8238.3mf</t>
  </si>
  <si>
    <t>c8238l.3mf</t>
  </si>
  <si>
    <t>c8238r.3mf</t>
  </si>
  <si>
    <t>c8239.3mf</t>
  </si>
  <si>
    <t>c8239l.3mf</t>
  </si>
  <si>
    <t>c8239r.3mf</t>
  </si>
  <si>
    <t>c8240.3mf</t>
  </si>
  <si>
    <t>c8240l.3mf</t>
  </si>
  <si>
    <t>c8240r.3mf</t>
  </si>
  <si>
    <t>c8246al.3mf</t>
  </si>
  <si>
    <t>c8246alp.3mf</t>
  </si>
  <si>
    <t>c8246ar.3mf</t>
  </si>
  <si>
    <t>c8246arp.3mf</t>
  </si>
  <si>
    <t>c8246bl.3mf</t>
  </si>
  <si>
    <t>c8246blp.3mf</t>
  </si>
  <si>
    <t>c8246br.3mf</t>
  </si>
  <si>
    <t>c8246brp.3mf</t>
  </si>
  <si>
    <t>c8246l.3mf</t>
  </si>
  <si>
    <t>c8246r.3mf</t>
  </si>
  <si>
    <t>c8278l.3mf</t>
  </si>
  <si>
    <t>c8278lp.3mf</t>
  </si>
  <si>
    <t>c8278r.3mf</t>
  </si>
  <si>
    <t>c8278rp.3mf</t>
  </si>
  <si>
    <t>c8279.3mf</t>
  </si>
  <si>
    <t>c8280.3mf</t>
  </si>
  <si>
    <t>c8280l.3mf</t>
  </si>
  <si>
    <t>c8280r.3mf</t>
  </si>
  <si>
    <t>c8281.3mf</t>
  </si>
  <si>
    <t>c8281l.3mf</t>
  </si>
  <si>
    <t>c8281r.3mf</t>
  </si>
  <si>
    <t>c8282.3mf</t>
  </si>
  <si>
    <t>c8282l.3mf</t>
  </si>
  <si>
    <t>c8282r.3mf</t>
  </si>
  <si>
    <t>c8295.3mf</t>
  </si>
  <si>
    <t>c8295l.3mf</t>
  </si>
  <si>
    <t>c8295lp.3mf</t>
  </si>
  <si>
    <t>c8295p.3mf</t>
  </si>
  <si>
    <t>c8295r.3mf</t>
  </si>
  <si>
    <t>c8295rp.3mf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</si>
</sst>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</font>
    <font>
      <sz val="11"/>
      <color rgb="FF006100"/>
      <name val="Calibri"/>
    </font>
    <font>
      <b/>
      <sz val="11"/>
      <name val="Calibri"/>
    </font>
    <font>
      <b/>
      <sz val="16"/>
      <color rgb="FFFFFFFF"/>
      <name val="Calibri"/>
    </font>
    <font>
      <b/>
      <sz val="11"/>
      <color theme="1"/>
      <name val="Calibri"/>
    </font>
    <font>
      <b/>
      <sz val="14"/>
      <color rgb="FFFFFFFF"/>
      <name val="Calibri"/>
    </font>
    <font>
      <b/>
      <sz val="11"/>
      <color rgb="FF000000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EDEDED"/>
      </patternFill>
    </fill>
    <fill>
      <patternFill patternType="solid">
        <fgColor theme="0" tint="-0.49995422223578601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0B0B0"/>
      </left>
      <right style="thin">
        <color rgb="FFB0B0B0"/>
      </right>
      <top style="medium">
        <color indexed="64"/>
      </top>
      <bottom style="medium">
        <color indexed="64"/>
      </bottom>
      <diagonal/>
    </border>
    <border>
      <left style="thin">
        <color rgb="FFB0B0B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1" fillId="2" borderId="1" xfId="1" applyBorder="1"/>
    <xf numFmtId="0" fontId="0" fillId="0" borderId="6" xfId="0" applyBorder="1" applyAlignment="1">
      <alignment horizontal="right"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right"/>
    </xf>
    <xf numFmtId="0" fontId="0" fillId="4" borderId="1" xfId="0" applyFill="1" applyBorder="1"/>
    <xf numFmtId="0" fontId="0" fillId="0" borderId="6" xfId="0" applyBorder="1" applyAlignment="1">
      <alignment horizontal="right" vertical="center"/>
    </xf>
    <xf numFmtId="0" fontId="0" fillId="0" borderId="7" xfId="0" applyBorder="1"/>
    <xf numFmtId="0" fontId="0" fillId="0" borderId="8" xfId="0" applyBorder="1"/>
    <xf numFmtId="0" fontId="0" fillId="4" borderId="8" xfId="0" applyFill="1" applyBorder="1"/>
    <xf numFmtId="0" fontId="0" fillId="0" borderId="9" xfId="0" applyBorder="1"/>
    <xf numFmtId="0" fontId="0" fillId="0" borderId="10" xfId="0" applyBorder="1"/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7" fillId="7" borderId="0" xfId="0" applyFont="1" applyFill="1"/>
    <xf numFmtId="0" fontId="0" fillId="0" borderId="0" xfId="0" applyAlignment="1">
      <alignment vertical="top" wrapText="1"/>
    </xf>
    <xf numFmtId="0" fontId="3" fillId="5" borderId="0" xfId="0" applyFont="1" applyFill="1" applyAlignment="1">
      <alignment wrapText="1"/>
    </xf>
    <xf numFmtId="0" fontId="3" fillId="5" borderId="0" xfId="0" applyFont="1" applyFill="1"/>
    <xf numFmtId="0" fontId="5" fillId="5" borderId="0" xfId="0" applyFont="1" applyFill="1" applyAlignment="1">
      <alignment horizontal="left" vertical="center"/>
    </xf>
  </cellXfs>
  <cellStyles count="2">
    <cellStyle name="Good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327293</xdr:colOff>
      <xdr:row>19</xdr:row>
      <xdr:rowOff>6350</xdr:rowOff>
    </xdr:from>
    <xdr:to>
      <xdr:col>9</xdr:col>
      <xdr:colOff>97510</xdr:colOff>
      <xdr:row>34</xdr:row>
      <xdr:rowOff>168275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205373</xdr:colOff>
      <xdr:row>35</xdr:row>
      <xdr:rowOff>71120</xdr:rowOff>
    </xdr:from>
    <xdr:to>
      <xdr:col>15</xdr:col>
      <xdr:colOff>320088</xdr:colOff>
      <xdr:row>49</xdr:row>
      <xdr:rowOff>156210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viewTable" displayName="OverviewTable" ref="A3:C9">
  <tableColumns count="3">
    <tableColumn id="1" xr3:uid="{00000000-0010-0000-0000-000001000000}" name="Nyckeltal / slutsats"/>
    <tableColumn id="2" xr3:uid="{00000000-0010-0000-0000-000002000000}" name="Värde"/>
    <tableColumn id="3" xr3:uid="{00000000-0010-0000-0000-000003000000}" name="Komment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sterCatalogTable" displayName="MasterCatalogTable" ref="A3:S28">
  <tableColumns count="19">
    <tableColumn id="1" xr3:uid="{00000000-0010-0000-0100-000001000000}" name="Har?"/>
    <tableColumn id="2" xr3:uid="{00000000-0010-0000-0100-000002000000}" name="Antal ägs"/>
    <tableColumn id="3" xr3:uid="{00000000-0010-0000-0100-000003000000}" name="Fysisk bandel / funktion"/>
    <tableColumn id="4" xr3:uid="{00000000-0010-0000-0100-000004000000}" name="Originalnummer"/>
    <tableColumn id="5" xr3:uid="{00000000-0010-0000-0100-000005000000}" name="Track Designer kod att prova"/>
    <tableColumn id="6" xr3:uid="{00000000-0010-0000-0100-000006000000}" name="Alternativ / äldre kod"/>
    <tableColumn id="7" xr3:uid="{00000000-0010-0000-0100-000007000000}" name="Typ"/>
    <tableColumn id="8" xr3:uid="{00000000-0010-0000-0100-000008000000}" name="Längd mm"/>
    <tableColumn id="9" xr3:uid="{00000000-0010-0000-0100-000009000000}" name="Vinkel °"/>
    <tableColumn id="10" xr3:uid="{00000000-0010-0000-0100-00000A000000}" name="Radie / geometri"/>
    <tableColumn id="11" xr3:uid="{00000000-0010-0000-0100-00000B000000}" name="Finns i buttons/x?"/>
    <tableColumn id="12" xr3:uid="{00000000-0010-0000-0100-00000C000000}" name="x-fil(er)"/>
    <tableColumn id="13" xr3:uid="{00000000-0010-0000-0100-00000D000000}" name="Frame/mappning från x-fil"/>
    <tableColumn id="14" xr3:uid="{00000000-0010-0000-0100-00000E000000}" name="Förekommer i fungerande .lay?"/>
    <tableColumn id="15" xr3:uid="{00000000-0010-0000-0100-00000F000000}" name="Antal i .lay-exempel"/>
    <tableColumn id="16" xr3:uid="{00000000-0010-0000-0100-000010000000}" name="Exempel-.lay-filer"/>
    <tableColumn id="17" xr3:uid="{00000000-0010-0000-0100-000011000000}" name="Monza true-fit"/>
    <tableColumn id="18" xr3:uid="{00000000-0010-0000-0100-000012000000}" name="Compact-Max"/>
    <tableColumn id="19" xr3:uid="{00000000-0010-0000-0100-000013000000}" name="Komment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InventoryTable" displayName="InventoryTable" ref="A3:J17">
  <tableColumns count="10">
    <tableColumn id="1" xr3:uid="{00000000-0010-0000-0200-000001000000}" name="Fysisk bandel"/>
    <tableColumn id="2" xr3:uid="{00000000-0010-0000-0200-000002000000}" name="Antal"/>
    <tableColumn id="3" xr3:uid="{00000000-0010-0000-0200-000003000000}" name="Originalnummer"/>
    <tableColumn id="4" xr3:uid="{00000000-0010-0000-0200-000004000000}" name="Tidigare TD-nr"/>
    <tableColumn id="5" xr3:uid="{00000000-0010-0000-0200-000005000000}" name="Intern/rek. TD-kod"/>
    <tableColumn id="6" xr3:uid="{00000000-0010-0000-0200-000006000000}" name="Typ"/>
    <tableColumn id="7" xr3:uid="{00000000-0010-0000-0200-000007000000}" name="Längd mm"/>
    <tableColumn id="8" xr3:uid="{00000000-0010-0000-0200-000008000000}" name="Vinkel °"/>
    <tableColumn id="9" xr3:uid="{00000000-0010-0000-0200-000009000000}" name="Radie"/>
    <tableColumn id="10" xr3:uid="{00000000-0010-0000-0200-00000A000000}" name="Kommenta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appingTable" displayName="MappingTable" ref="A3:D15">
  <tableColumns count="4">
    <tableColumn id="1" xr3:uid="{00000000-0010-0000-0300-000001000000}" name="Fysisk/äldre kod"/>
    <tableColumn id="2" xr3:uid="{00000000-0010-0000-0300-000002000000}" name="Track Designer kod i .lay / intern modell"/>
    <tableColumn id="3" xr3:uid="{00000000-0010-0000-0300-000003000000}" name="Belägg"/>
    <tableColumn id="4" xr3:uid="{00000000-0010-0000-0300-000004000000}" name="Komment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ayCodesTable" displayName="LayCodesTable" ref="A3:D24">
  <tableColumns count="4">
    <tableColumn id="1" xr3:uid="{00000000-0010-0000-0400-000001000000}" name="Track Designer kod"/>
    <tableColumn id="2" xr3:uid="{00000000-0010-0000-0400-000002000000}" name="Antal totalt i .lay-exempel"/>
    <tableColumn id="3" xr3:uid="{00000000-0010-0000-0400-000003000000}" name="Antal filer"/>
    <tableColumn id="4" xr3:uid="{00000000-0010-0000-0400-000004000000}" name="Exempel på file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ibraryFilesTable" displayName="LibraryFilesTable" ref="A3:E333">
  <tableColumns count="5">
    <tableColumn id="1" xr3:uid="{00000000-0010-0000-0500-000001000000}" name="Kod från filnamn"/>
    <tableColumn id="2" xr3:uid="{00000000-0010-0000-0500-000002000000}" name="Typ fil"/>
    <tableColumn id="3" xr3:uid="{00000000-0010-0000-0500-000003000000}" name="Filnamn"/>
    <tableColumn id="4" xr3:uid="{00000000-0010-0000-0500-000004000000}" name="Frame / intern modell"/>
    <tableColumn id="5" xr3:uid="{00000000-0010-0000-0500-000005000000}" name="Storlek by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otOwnedTable" displayName="NotOwnedTable" ref="A3:E14">
  <tableColumns count="5">
    <tableColumn id="1" xr3:uid="{00000000-0010-0000-0600-000001000000}" name="Track Designer kod"/>
    <tableColumn id="2" xr3:uid="{00000000-0010-0000-0600-000002000000}" name="Typ/funktion"/>
    <tableColumn id="3" xr3:uid="{00000000-0010-0000-0600-000003000000}" name="Förekommer i .lay"/>
    <tableColumn id="4" xr3:uid="{00000000-0010-0000-0600-000004000000}" name="Antal i .lay"/>
    <tableColumn id="5" xr3:uid="{00000000-0010-0000-0600-000005000000}" name="Kommenta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3MFBibliotek" displayName="Table3MFBibliotek" ref="A1:E231">
  <tableColumns count="5">
    <tableColumn id="1" xr3:uid="{00000000-0010-0000-0700-000001000000}" name="3MF-filnamn"/>
    <tableColumn id="2" xr3:uid="{00000000-0010-0000-0700-000002000000}" name="Käll-x-fil"/>
    <tableColumn id="3" xr3:uid="{00000000-0010-0000-0700-000003000000}" name="Kod/stam"/>
    <tableColumn id="4" xr3:uid="{00000000-0010-0000-0700-000004000000}" name="Storlek bytes"/>
    <tableColumn id="5" xr3:uid="{00000000-0010-0000-0700-000005000000}" name="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workbookViewId="0"/>
  </sheetViews>
  <sheetFormatPr defaultRowHeight="15" x14ac:dyDescent="0.25"/>
  <cols>
    <col min="2" max="2" width="34.42578125" customWidth="1"/>
    <col min="3" max="5" width="20.42578125" customWidth="1"/>
    <col min="6" max="6" width="11.42578125" customWidth="1"/>
    <col min="7" max="7" width="9.28515625" customWidth="1"/>
    <col min="8" max="8" width="21.28515625" customWidth="1"/>
    <col min="16" max="16" width="85.28515625" customWidth="1"/>
    <col min="17" max="17" width="9.85546875" customWidth="1"/>
    <col min="20" max="20" width="45" customWidth="1"/>
  </cols>
  <sheetData>
    <row r="1" spans="1:20" ht="102" customHeight="1" x14ac:dyDescent="0.25">
      <c r="A1" s="15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8" t="s">
        <v>16</v>
      </c>
      <c r="R1" s="18" t="s">
        <v>17</v>
      </c>
      <c r="S1" s="19" t="s">
        <v>18</v>
      </c>
      <c r="T1" s="23" t="s">
        <v>85</v>
      </c>
    </row>
    <row r="2" spans="1:20" ht="45" x14ac:dyDescent="0.25">
      <c r="A2" s="12">
        <v>39</v>
      </c>
      <c r="B2" s="13" t="s">
        <v>19</v>
      </c>
      <c r="C2" s="13" t="s">
        <v>20</v>
      </c>
      <c r="D2" s="13" t="s">
        <v>21</v>
      </c>
      <c r="E2" s="13" t="s">
        <v>22</v>
      </c>
      <c r="F2" s="13">
        <v>350</v>
      </c>
      <c r="G2" s="13"/>
      <c r="H2" s="13" t="s">
        <v>23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24" t="s">
        <v>86</v>
      </c>
    </row>
    <row r="3" spans="1:20" x14ac:dyDescent="0.25">
      <c r="A3" s="2">
        <v>2</v>
      </c>
      <c r="B3" s="1" t="s">
        <v>24</v>
      </c>
      <c r="C3" s="1" t="s">
        <v>20</v>
      </c>
      <c r="D3" s="1" t="s">
        <v>25</v>
      </c>
      <c r="E3" s="1" t="s">
        <v>26</v>
      </c>
      <c r="F3" s="6">
        <v>350</v>
      </c>
      <c r="G3" s="1"/>
      <c r="H3" s="1" t="s">
        <v>27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24" t="s">
        <v>87</v>
      </c>
    </row>
    <row r="4" spans="1:20" x14ac:dyDescent="0.25">
      <c r="A4" s="2">
        <v>2</v>
      </c>
      <c r="B4" s="1" t="s">
        <v>28</v>
      </c>
      <c r="C4" s="1" t="s">
        <v>20</v>
      </c>
      <c r="D4" s="1" t="s">
        <v>29</v>
      </c>
      <c r="E4" s="1" t="s">
        <v>30</v>
      </c>
      <c r="F4" s="1">
        <v>350</v>
      </c>
      <c r="G4" s="1"/>
      <c r="H4" s="1" t="s">
        <v>31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24" t="s">
        <v>88</v>
      </c>
    </row>
    <row r="5" spans="1:20" ht="30" x14ac:dyDescent="0.25">
      <c r="A5" s="2">
        <v>2</v>
      </c>
      <c r="B5" s="1" t="s">
        <v>32</v>
      </c>
      <c r="C5" s="1" t="s">
        <v>20</v>
      </c>
      <c r="D5" s="1" t="s">
        <v>33</v>
      </c>
      <c r="E5" s="1" t="s">
        <v>34</v>
      </c>
      <c r="F5" s="1">
        <v>350</v>
      </c>
      <c r="G5" s="1"/>
      <c r="H5" s="1" t="s">
        <v>35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24" t="s">
        <v>89</v>
      </c>
    </row>
    <row r="6" spans="1:20" x14ac:dyDescent="0.25">
      <c r="A6" s="2">
        <v>1</v>
      </c>
      <c r="B6" s="1" t="s">
        <v>36</v>
      </c>
      <c r="C6" s="1" t="s">
        <v>20</v>
      </c>
      <c r="D6" s="1" t="s">
        <v>37</v>
      </c>
      <c r="E6" s="1" t="s">
        <v>38</v>
      </c>
      <c r="F6" s="1">
        <v>350</v>
      </c>
      <c r="G6" s="1"/>
      <c r="H6" s="1" t="s">
        <v>39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24" t="s">
        <v>90</v>
      </c>
    </row>
    <row r="7" spans="1:20" x14ac:dyDescent="0.25">
      <c r="A7" s="2">
        <v>7</v>
      </c>
      <c r="B7" s="1" t="s">
        <v>40</v>
      </c>
      <c r="C7" s="1" t="s">
        <v>20</v>
      </c>
      <c r="D7" s="1" t="s">
        <v>41</v>
      </c>
      <c r="E7" s="1" t="s">
        <v>42</v>
      </c>
      <c r="F7" s="1"/>
      <c r="G7" s="7">
        <v>90</v>
      </c>
      <c r="H7" s="8" t="s">
        <v>43</v>
      </c>
      <c r="I7" s="7">
        <v>215</v>
      </c>
      <c r="J7" s="7"/>
      <c r="K7" s="7"/>
      <c r="L7" s="7"/>
      <c r="M7" s="7">
        <f t="shared" ref="M7:M13" si="0">ROUND(I7 - (K7-L7)/2, 1)</f>
        <v>215</v>
      </c>
      <c r="N7" s="7">
        <f t="shared" ref="N7:N13" si="1">ROUND(M7 - L7, 1)</f>
        <v>215</v>
      </c>
      <c r="O7" s="7">
        <f t="shared" ref="O7:O13" si="2">ROUND((M7+N7)/2, 1)</f>
        <v>215</v>
      </c>
      <c r="P7" s="8" t="s">
        <v>44</v>
      </c>
      <c r="Q7" s="9">
        <f t="shared" ref="Q7:Q13" si="3">ROUND(2*PI()*O7*(G7/360),1)</f>
        <v>337.7</v>
      </c>
      <c r="R7" s="11">
        <f t="shared" ref="R7:R13" si="4">ROUND(2*PI()*M7*(G7/360),1)</f>
        <v>337.7</v>
      </c>
      <c r="S7" s="11">
        <f t="shared" ref="S7:S13" si="5">ROUND(2*PI()*N7*(G7/360),1)</f>
        <v>337.7</v>
      </c>
      <c r="T7" s="24" t="s">
        <v>91</v>
      </c>
    </row>
    <row r="8" spans="1:20" x14ac:dyDescent="0.25">
      <c r="A8" s="2">
        <v>7</v>
      </c>
      <c r="B8" s="1" t="s">
        <v>45</v>
      </c>
      <c r="C8" s="1" t="s">
        <v>20</v>
      </c>
      <c r="D8" s="1" t="s">
        <v>46</v>
      </c>
      <c r="E8" s="1" t="s">
        <v>46</v>
      </c>
      <c r="F8" s="1"/>
      <c r="G8" s="7">
        <v>45</v>
      </c>
      <c r="H8" s="8" t="s">
        <v>47</v>
      </c>
      <c r="I8" s="7">
        <v>352</v>
      </c>
      <c r="J8" s="7">
        <v>208</v>
      </c>
      <c r="K8" s="7"/>
      <c r="L8" s="7"/>
      <c r="M8" s="7">
        <f t="shared" si="0"/>
        <v>352</v>
      </c>
      <c r="N8" s="7">
        <f t="shared" si="1"/>
        <v>352</v>
      </c>
      <c r="O8" s="7">
        <f t="shared" si="2"/>
        <v>352</v>
      </c>
      <c r="P8" s="8" t="s">
        <v>48</v>
      </c>
      <c r="Q8" s="9">
        <f t="shared" si="3"/>
        <v>276.5</v>
      </c>
      <c r="R8" s="11">
        <f t="shared" si="4"/>
        <v>276.5</v>
      </c>
      <c r="S8" s="11">
        <f t="shared" si="5"/>
        <v>276.5</v>
      </c>
      <c r="T8" s="24"/>
    </row>
    <row r="9" spans="1:20" x14ac:dyDescent="0.25">
      <c r="A9" s="2">
        <v>8</v>
      </c>
      <c r="B9" s="1" t="s">
        <v>49</v>
      </c>
      <c r="C9" s="1" t="s">
        <v>20</v>
      </c>
      <c r="D9" s="1" t="s">
        <v>50</v>
      </c>
      <c r="E9" s="1" t="s">
        <v>51</v>
      </c>
      <c r="F9" s="1"/>
      <c r="G9" s="7">
        <v>45</v>
      </c>
      <c r="H9" s="8" t="s">
        <v>52</v>
      </c>
      <c r="I9" s="7">
        <v>372</v>
      </c>
      <c r="J9" s="7"/>
      <c r="K9" s="7"/>
      <c r="L9" s="7"/>
      <c r="M9" s="7">
        <f t="shared" si="0"/>
        <v>372</v>
      </c>
      <c r="N9" s="7">
        <f t="shared" si="1"/>
        <v>372</v>
      </c>
      <c r="O9" s="7">
        <f t="shared" si="2"/>
        <v>372</v>
      </c>
      <c r="P9" s="8" t="s">
        <v>53</v>
      </c>
      <c r="Q9" s="9">
        <f t="shared" si="3"/>
        <v>292.2</v>
      </c>
      <c r="R9" s="11">
        <f t="shared" si="4"/>
        <v>292.2</v>
      </c>
      <c r="S9" s="11">
        <f t="shared" si="5"/>
        <v>292.2</v>
      </c>
      <c r="T9" s="24" t="s">
        <v>92</v>
      </c>
    </row>
    <row r="10" spans="1:20" ht="30" x14ac:dyDescent="0.25">
      <c r="A10" s="2">
        <v>3</v>
      </c>
      <c r="B10" s="1" t="s">
        <v>54</v>
      </c>
      <c r="C10" s="1" t="s">
        <v>20</v>
      </c>
      <c r="D10" s="1" t="s">
        <v>55</v>
      </c>
      <c r="E10" s="1" t="s">
        <v>56</v>
      </c>
      <c r="F10" s="1"/>
      <c r="G10" s="7">
        <v>22.5</v>
      </c>
      <c r="H10" s="8" t="s">
        <v>57</v>
      </c>
      <c r="I10" s="7">
        <v>372</v>
      </c>
      <c r="J10" s="7"/>
      <c r="K10" s="7"/>
      <c r="L10" s="7"/>
      <c r="M10" s="7">
        <f t="shared" si="0"/>
        <v>372</v>
      </c>
      <c r="N10" s="7">
        <f t="shared" si="1"/>
        <v>372</v>
      </c>
      <c r="O10" s="7">
        <f t="shared" si="2"/>
        <v>372</v>
      </c>
      <c r="P10" s="8" t="s">
        <v>58</v>
      </c>
      <c r="Q10" s="9">
        <f t="shared" si="3"/>
        <v>146.1</v>
      </c>
      <c r="R10" s="11">
        <f t="shared" si="4"/>
        <v>146.1</v>
      </c>
      <c r="S10" s="11">
        <f t="shared" si="5"/>
        <v>146.1</v>
      </c>
      <c r="T10" s="24" t="s">
        <v>93</v>
      </c>
    </row>
    <row r="11" spans="1:20" x14ac:dyDescent="0.25">
      <c r="A11" s="2">
        <v>2</v>
      </c>
      <c r="B11" s="1" t="s">
        <v>59</v>
      </c>
      <c r="C11" s="1" t="s">
        <v>60</v>
      </c>
      <c r="D11" s="1" t="s">
        <v>61</v>
      </c>
      <c r="E11" s="1" t="s">
        <v>62</v>
      </c>
      <c r="F11" s="1"/>
      <c r="G11" s="7">
        <v>11.25</v>
      </c>
      <c r="H11" s="8" t="s">
        <v>63</v>
      </c>
      <c r="I11" s="7">
        <v>372</v>
      </c>
      <c r="J11" s="7"/>
      <c r="K11" s="7"/>
      <c r="L11" s="7"/>
      <c r="M11" s="7">
        <f t="shared" si="0"/>
        <v>372</v>
      </c>
      <c r="N11" s="7">
        <f t="shared" si="1"/>
        <v>372</v>
      </c>
      <c r="O11" s="7">
        <f t="shared" si="2"/>
        <v>372</v>
      </c>
      <c r="P11" s="8" t="s">
        <v>64</v>
      </c>
      <c r="Q11" s="9">
        <f t="shared" si="3"/>
        <v>73</v>
      </c>
      <c r="R11" s="11">
        <f t="shared" si="4"/>
        <v>73</v>
      </c>
      <c r="S11" s="11">
        <f t="shared" si="5"/>
        <v>73</v>
      </c>
      <c r="T11" s="24" t="s">
        <v>94</v>
      </c>
    </row>
    <row r="12" spans="1:20" x14ac:dyDescent="0.25">
      <c r="A12" s="2">
        <v>26</v>
      </c>
      <c r="B12" s="1" t="s">
        <v>65</v>
      </c>
      <c r="C12" s="1" t="s">
        <v>20</v>
      </c>
      <c r="D12" s="6" t="s">
        <v>66</v>
      </c>
      <c r="E12" s="6" t="s">
        <v>66</v>
      </c>
      <c r="F12" s="1"/>
      <c r="G12" s="7">
        <v>22.5</v>
      </c>
      <c r="H12" s="8" t="s">
        <v>67</v>
      </c>
      <c r="I12" s="7">
        <v>527</v>
      </c>
      <c r="J12" s="7"/>
      <c r="K12" s="7"/>
      <c r="L12" s="7"/>
      <c r="M12" s="7">
        <f t="shared" si="0"/>
        <v>527</v>
      </c>
      <c r="N12" s="7">
        <f t="shared" si="1"/>
        <v>527</v>
      </c>
      <c r="O12" s="7">
        <f t="shared" si="2"/>
        <v>527</v>
      </c>
      <c r="P12" s="8" t="s">
        <v>68</v>
      </c>
      <c r="Q12" s="9">
        <f t="shared" si="3"/>
        <v>207</v>
      </c>
      <c r="R12" s="11">
        <f t="shared" si="4"/>
        <v>207</v>
      </c>
      <c r="S12" s="11">
        <f t="shared" si="5"/>
        <v>207</v>
      </c>
      <c r="T12" s="24" t="s">
        <v>95</v>
      </c>
    </row>
    <row r="13" spans="1:20" ht="30" x14ac:dyDescent="0.25">
      <c r="A13" s="2">
        <v>7</v>
      </c>
      <c r="B13" s="1" t="s">
        <v>69</v>
      </c>
      <c r="C13" s="1" t="s">
        <v>20</v>
      </c>
      <c r="D13" s="6" t="s">
        <v>70</v>
      </c>
      <c r="E13" s="6" t="s">
        <v>71</v>
      </c>
      <c r="F13" s="1"/>
      <c r="G13" s="7">
        <v>22.5</v>
      </c>
      <c r="H13" s="8" t="s">
        <v>72</v>
      </c>
      <c r="I13" s="7">
        <v>686</v>
      </c>
      <c r="J13" s="7"/>
      <c r="K13" s="7"/>
      <c r="L13" s="7"/>
      <c r="M13" s="7">
        <f t="shared" si="0"/>
        <v>686</v>
      </c>
      <c r="N13" s="7">
        <f t="shared" si="1"/>
        <v>686</v>
      </c>
      <c r="O13" s="7">
        <f t="shared" si="2"/>
        <v>686</v>
      </c>
      <c r="P13" s="8" t="s">
        <v>73</v>
      </c>
      <c r="Q13" s="9">
        <f t="shared" si="3"/>
        <v>269.39999999999998</v>
      </c>
      <c r="R13" s="11">
        <f t="shared" si="4"/>
        <v>269.39999999999998</v>
      </c>
      <c r="S13" s="11">
        <f t="shared" si="5"/>
        <v>269.39999999999998</v>
      </c>
      <c r="T13" s="24" t="s">
        <v>96</v>
      </c>
    </row>
    <row r="14" spans="1:20" x14ac:dyDescent="0.25">
      <c r="A14" s="2">
        <v>1</v>
      </c>
      <c r="B14" s="1" t="s">
        <v>74</v>
      </c>
      <c r="C14" s="1" t="s">
        <v>20</v>
      </c>
      <c r="D14" s="1" t="s">
        <v>75</v>
      </c>
      <c r="E14" s="1" t="s">
        <v>76</v>
      </c>
      <c r="F14" s="1">
        <v>78</v>
      </c>
      <c r="G14" s="1"/>
      <c r="H14" s="1" t="s">
        <v>77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24" t="s">
        <v>97</v>
      </c>
    </row>
    <row r="15" spans="1:20" x14ac:dyDescent="0.25">
      <c r="A15" s="2">
        <v>1</v>
      </c>
      <c r="B15" s="1" t="s">
        <v>78</v>
      </c>
      <c r="C15" s="1" t="s">
        <v>20</v>
      </c>
      <c r="D15" s="1" t="s">
        <v>79</v>
      </c>
      <c r="E15" s="1" t="s">
        <v>80</v>
      </c>
      <c r="F15" s="1">
        <v>87</v>
      </c>
      <c r="G15" s="1"/>
      <c r="H15" s="1" t="s">
        <v>77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24" t="s">
        <v>98</v>
      </c>
    </row>
    <row r="16" spans="1:20" ht="30" x14ac:dyDescent="0.25">
      <c r="A16" s="3">
        <v>1</v>
      </c>
      <c r="B16" s="4" t="s">
        <v>81</v>
      </c>
      <c r="C16" s="4" t="s">
        <v>20</v>
      </c>
      <c r="D16" s="4" t="s">
        <v>82</v>
      </c>
      <c r="E16" s="4" t="s">
        <v>83</v>
      </c>
      <c r="F16" s="4">
        <v>175</v>
      </c>
      <c r="G16" s="4"/>
      <c r="H16" s="4" t="s">
        <v>84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24" t="s">
        <v>99</v>
      </c>
    </row>
    <row r="17" spans="1:1" x14ac:dyDescent="0.25">
      <c r="A17" s="5">
        <f>SUM(A2:A16)</f>
        <v>109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sqref="A1:D1"/>
    </sheetView>
  </sheetViews>
  <sheetFormatPr defaultRowHeight="15" x14ac:dyDescent="0.25"/>
  <cols>
    <col min="1" max="1" width="28" customWidth="1"/>
    <col min="2" max="2" width="30" customWidth="1"/>
    <col min="3" max="3" width="52" customWidth="1"/>
    <col min="5" max="5" width="65" customWidth="1"/>
  </cols>
  <sheetData>
    <row r="1" spans="1:5" ht="27.95" customHeight="1" x14ac:dyDescent="0.35">
      <c r="A1" s="25" t="s">
        <v>100</v>
      </c>
      <c r="B1" s="25"/>
      <c r="C1" s="25"/>
      <c r="D1" s="26"/>
      <c r="E1" s="23" t="s">
        <v>101</v>
      </c>
    </row>
    <row r="2" spans="1:5" ht="45" x14ac:dyDescent="0.25">
      <c r="E2" s="22" t="s">
        <v>102</v>
      </c>
    </row>
    <row r="3" spans="1:5" x14ac:dyDescent="0.25">
      <c r="A3" s="20" t="s">
        <v>103</v>
      </c>
      <c r="B3" s="20" t="s">
        <v>104</v>
      </c>
      <c r="C3" s="20" t="s">
        <v>105</v>
      </c>
    </row>
    <row r="4" spans="1:5" x14ac:dyDescent="0.25">
      <c r="A4" t="s">
        <v>106</v>
      </c>
      <c r="B4">
        <v>108</v>
      </c>
      <c r="C4" t="s">
        <v>107</v>
      </c>
    </row>
    <row r="5" spans="1:5" x14ac:dyDescent="0.25">
      <c r="A5" t="s">
        <v>108</v>
      </c>
      <c r="B5">
        <v>14</v>
      </c>
      <c r="C5" t="s">
        <v>109</v>
      </c>
    </row>
    <row r="6" spans="1:5" x14ac:dyDescent="0.25">
      <c r="A6" t="s">
        <v>110</v>
      </c>
      <c r="B6">
        <v>21</v>
      </c>
      <c r="C6" t="s">
        <v>111</v>
      </c>
    </row>
    <row r="7" spans="1:5" x14ac:dyDescent="0.25">
      <c r="A7" t="s">
        <v>112</v>
      </c>
      <c r="B7">
        <v>330</v>
      </c>
      <c r="C7" t="s">
        <v>113</v>
      </c>
    </row>
    <row r="8" spans="1:5" x14ac:dyDescent="0.25">
      <c r="A8" t="s">
        <v>114</v>
      </c>
      <c r="B8" t="s">
        <v>115</v>
      </c>
      <c r="C8" t="s">
        <v>116</v>
      </c>
    </row>
    <row r="9" spans="1:5" x14ac:dyDescent="0.25">
      <c r="A9" t="s">
        <v>117</v>
      </c>
      <c r="B9" t="s">
        <v>118</v>
      </c>
      <c r="C9" t="s">
        <v>119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"/>
  <sheetViews>
    <sheetView tabSelected="1" topLeftCell="A15" zoomScaleNormal="100" workbookViewId="0">
      <selection activeCell="E15" sqref="E1:T1048576"/>
    </sheetView>
  </sheetViews>
  <sheetFormatPr defaultRowHeight="15" x14ac:dyDescent="0.25"/>
  <cols>
    <col min="1" max="1" width="8" customWidth="1"/>
    <col min="2" max="2" width="10" customWidth="1"/>
    <col min="3" max="3" width="30" customWidth="1"/>
    <col min="4" max="4" width="20" customWidth="1"/>
    <col min="5" max="6" width="22" customWidth="1"/>
    <col min="7" max="7" width="20" customWidth="1"/>
    <col min="8" max="9" width="10" customWidth="1"/>
    <col min="10" max="10" width="20" customWidth="1"/>
    <col min="11" max="11" width="16" customWidth="1"/>
    <col min="12" max="12" width="32" customWidth="1"/>
    <col min="13" max="13" width="30" customWidth="1"/>
    <col min="14" max="14" width="16" customWidth="1"/>
    <col min="15" max="15" width="12" customWidth="1"/>
    <col min="16" max="16" width="36" customWidth="1"/>
    <col min="17" max="18" width="16" customWidth="1"/>
    <col min="19" max="19" width="42" customWidth="1"/>
    <col min="20" max="20" width="45" customWidth="1"/>
  </cols>
  <sheetData>
    <row r="1" spans="1:20" ht="24" customHeight="1" x14ac:dyDescent="0.25">
      <c r="A1" s="27" t="s">
        <v>120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</row>
    <row r="3" spans="1:20" ht="32.1" customHeight="1" x14ac:dyDescent="0.25">
      <c r="A3" s="21" t="s">
        <v>121</v>
      </c>
      <c r="B3" s="21" t="s">
        <v>122</v>
      </c>
      <c r="C3" s="21" t="s">
        <v>123</v>
      </c>
      <c r="D3" s="21" t="s">
        <v>124</v>
      </c>
      <c r="E3" s="21" t="s">
        <v>125</v>
      </c>
      <c r="F3" s="21" t="s">
        <v>126</v>
      </c>
      <c r="G3" s="21" t="s">
        <v>127</v>
      </c>
      <c r="H3" s="21" t="s">
        <v>128</v>
      </c>
      <c r="I3" s="21" t="s">
        <v>129</v>
      </c>
      <c r="J3" s="21" t="s">
        <v>130</v>
      </c>
      <c r="K3" s="21" t="s">
        <v>131</v>
      </c>
      <c r="L3" s="21" t="s">
        <v>132</v>
      </c>
      <c r="M3" s="21" t="s">
        <v>133</v>
      </c>
      <c r="N3" s="21" t="s">
        <v>134</v>
      </c>
      <c r="O3" s="21" t="s">
        <v>135</v>
      </c>
      <c r="P3" s="21" t="s">
        <v>136</v>
      </c>
      <c r="Q3" s="21" t="s">
        <v>137</v>
      </c>
      <c r="R3" s="21" t="s">
        <v>138</v>
      </c>
      <c r="S3" s="21" t="s">
        <v>105</v>
      </c>
      <c r="T3" s="23" t="s">
        <v>85</v>
      </c>
    </row>
    <row r="4" spans="1:20" ht="60" x14ac:dyDescent="0.25">
      <c r="A4" s="22" t="s">
        <v>139</v>
      </c>
      <c r="B4" s="22">
        <v>39</v>
      </c>
      <c r="C4" s="22" t="s">
        <v>19</v>
      </c>
      <c r="D4" s="22" t="s">
        <v>21</v>
      </c>
      <c r="E4" s="22" t="s">
        <v>22</v>
      </c>
      <c r="F4" s="22" t="s">
        <v>22</v>
      </c>
      <c r="G4" s="22" t="s">
        <v>140</v>
      </c>
      <c r="H4" s="22">
        <v>350</v>
      </c>
      <c r="I4" s="22"/>
      <c r="J4" s="22"/>
      <c r="K4" s="22" t="s">
        <v>139</v>
      </c>
      <c r="L4" s="22" t="s">
        <v>141</v>
      </c>
      <c r="M4" s="22" t="s">
        <v>142</v>
      </c>
      <c r="N4" s="22" t="s">
        <v>139</v>
      </c>
      <c r="O4" s="22">
        <v>316</v>
      </c>
      <c r="P4" s="22" t="s">
        <v>143</v>
      </c>
      <c r="Q4" s="22" t="s">
        <v>144</v>
      </c>
      <c r="R4" s="22" t="s">
        <v>144</v>
      </c>
      <c r="S4" s="22" t="s">
        <v>145</v>
      </c>
      <c r="T4" s="24" t="s">
        <v>146</v>
      </c>
    </row>
    <row r="5" spans="1:20" ht="45" x14ac:dyDescent="0.25">
      <c r="A5" s="22" t="s">
        <v>139</v>
      </c>
      <c r="B5" s="22">
        <v>2</v>
      </c>
      <c r="C5" s="22" t="s">
        <v>24</v>
      </c>
      <c r="D5" s="22" t="s">
        <v>25</v>
      </c>
      <c r="E5" s="22" t="s">
        <v>147</v>
      </c>
      <c r="F5" s="22" t="s">
        <v>148</v>
      </c>
      <c r="G5" s="22" t="s">
        <v>149</v>
      </c>
      <c r="H5" s="22">
        <v>350</v>
      </c>
      <c r="I5" s="22"/>
      <c r="J5" s="22"/>
      <c r="K5" s="22" t="s">
        <v>139</v>
      </c>
      <c r="L5" s="22" t="s">
        <v>150</v>
      </c>
      <c r="M5" s="22" t="s">
        <v>151</v>
      </c>
      <c r="N5" s="22" t="s">
        <v>139</v>
      </c>
      <c r="O5" s="22">
        <v>4</v>
      </c>
      <c r="P5" s="22" t="s">
        <v>152</v>
      </c>
      <c r="Q5" s="22" t="s">
        <v>153</v>
      </c>
      <c r="R5" s="22" t="s">
        <v>144</v>
      </c>
      <c r="S5" s="22" t="s">
        <v>154</v>
      </c>
      <c r="T5" s="24" t="s">
        <v>155</v>
      </c>
    </row>
    <row r="6" spans="1:20" ht="30" x14ac:dyDescent="0.25">
      <c r="A6" s="22" t="s">
        <v>139</v>
      </c>
      <c r="B6" s="22">
        <v>2</v>
      </c>
      <c r="C6" s="22" t="s">
        <v>28</v>
      </c>
      <c r="D6" s="22" t="s">
        <v>29</v>
      </c>
      <c r="E6" s="22" t="s">
        <v>30</v>
      </c>
      <c r="F6" s="22" t="s">
        <v>30</v>
      </c>
      <c r="G6" s="22" t="s">
        <v>156</v>
      </c>
      <c r="H6" s="22">
        <v>350</v>
      </c>
      <c r="I6" s="22"/>
      <c r="J6" s="22"/>
      <c r="K6" s="22" t="s">
        <v>139</v>
      </c>
      <c r="L6" s="22" t="s">
        <v>157</v>
      </c>
      <c r="M6" s="22" t="s">
        <v>158</v>
      </c>
      <c r="N6" s="22" t="s">
        <v>159</v>
      </c>
      <c r="O6" s="22">
        <v>0</v>
      </c>
      <c r="P6" s="22"/>
      <c r="Q6" s="22" t="s">
        <v>144</v>
      </c>
      <c r="R6" s="22" t="s">
        <v>144</v>
      </c>
      <c r="S6" s="22" t="s">
        <v>160</v>
      </c>
      <c r="T6" s="24" t="s">
        <v>88</v>
      </c>
    </row>
    <row r="7" spans="1:20" ht="30" x14ac:dyDescent="0.25">
      <c r="A7" s="22" t="s">
        <v>139</v>
      </c>
      <c r="B7" s="22">
        <v>3</v>
      </c>
      <c r="C7" s="22" t="s">
        <v>32</v>
      </c>
      <c r="D7" s="22" t="s">
        <v>161</v>
      </c>
      <c r="E7" s="22" t="s">
        <v>162</v>
      </c>
      <c r="F7" s="22" t="s">
        <v>163</v>
      </c>
      <c r="G7" s="22" t="s">
        <v>164</v>
      </c>
      <c r="H7" s="22">
        <v>350</v>
      </c>
      <c r="I7" s="22"/>
      <c r="J7" s="22"/>
      <c r="K7" s="22" t="s">
        <v>139</v>
      </c>
      <c r="L7" s="22" t="s">
        <v>165</v>
      </c>
      <c r="M7" s="22" t="s">
        <v>166</v>
      </c>
      <c r="N7" s="22" t="s">
        <v>159</v>
      </c>
      <c r="O7" s="22">
        <v>0</v>
      </c>
      <c r="P7" s="22"/>
      <c r="Q7" s="22" t="s">
        <v>144</v>
      </c>
      <c r="R7" s="22" t="s">
        <v>144</v>
      </c>
      <c r="S7" s="22" t="s">
        <v>167</v>
      </c>
      <c r="T7" s="24" t="s">
        <v>168</v>
      </c>
    </row>
    <row r="8" spans="1:20" x14ac:dyDescent="0.25">
      <c r="A8" s="22" t="s">
        <v>139</v>
      </c>
      <c r="B8" s="22">
        <v>7</v>
      </c>
      <c r="C8" s="22" t="s">
        <v>40</v>
      </c>
      <c r="D8" s="22" t="s">
        <v>41</v>
      </c>
      <c r="E8" s="22" t="s">
        <v>42</v>
      </c>
      <c r="F8" s="22" t="s">
        <v>42</v>
      </c>
      <c r="G8" s="22" t="s">
        <v>169</v>
      </c>
      <c r="H8" s="22"/>
      <c r="I8" s="22">
        <v>90</v>
      </c>
      <c r="J8" s="22" t="s">
        <v>170</v>
      </c>
      <c r="K8" s="22" t="s">
        <v>139</v>
      </c>
      <c r="L8" s="22" t="s">
        <v>171</v>
      </c>
      <c r="M8" s="22" t="s">
        <v>172</v>
      </c>
      <c r="N8" s="22" t="s">
        <v>159</v>
      </c>
      <c r="O8" s="22">
        <v>0</v>
      </c>
      <c r="P8" s="22"/>
      <c r="Q8" s="22" t="s">
        <v>153</v>
      </c>
      <c r="R8" s="22" t="s">
        <v>144</v>
      </c>
      <c r="S8" s="22" t="s">
        <v>173</v>
      </c>
      <c r="T8" s="24" t="s">
        <v>91</v>
      </c>
    </row>
    <row r="9" spans="1:20" x14ac:dyDescent="0.25">
      <c r="A9" s="22" t="s">
        <v>139</v>
      </c>
      <c r="B9" s="22">
        <v>7</v>
      </c>
      <c r="C9" s="22" t="s">
        <v>45</v>
      </c>
      <c r="D9" s="22" t="s">
        <v>46</v>
      </c>
      <c r="E9" s="22" t="s">
        <v>46</v>
      </c>
      <c r="F9" s="22" t="s">
        <v>46</v>
      </c>
      <c r="G9" s="22" t="s">
        <v>174</v>
      </c>
      <c r="H9" s="22"/>
      <c r="I9" s="22">
        <v>60</v>
      </c>
      <c r="J9" s="22"/>
      <c r="K9" s="22" t="s">
        <v>175</v>
      </c>
      <c r="L9" s="22"/>
      <c r="M9" s="22"/>
      <c r="N9" s="22" t="s">
        <v>159</v>
      </c>
      <c r="O9" s="22">
        <v>0</v>
      </c>
      <c r="P9" s="22"/>
      <c r="Q9" s="22" t="s">
        <v>153</v>
      </c>
      <c r="R9" s="22" t="s">
        <v>144</v>
      </c>
      <c r="S9" s="22" t="s">
        <v>176</v>
      </c>
      <c r="T9" s="24"/>
    </row>
    <row r="10" spans="1:20" ht="60" x14ac:dyDescent="0.25">
      <c r="A10" s="22" t="s">
        <v>139</v>
      </c>
      <c r="B10" s="22">
        <v>11</v>
      </c>
      <c r="C10" s="22" t="s">
        <v>49</v>
      </c>
      <c r="D10" s="22" t="s">
        <v>50</v>
      </c>
      <c r="E10" s="22" t="s">
        <v>177</v>
      </c>
      <c r="F10" s="22" t="s">
        <v>51</v>
      </c>
      <c r="G10" s="22" t="s">
        <v>178</v>
      </c>
      <c r="H10" s="22"/>
      <c r="I10" s="22">
        <v>45</v>
      </c>
      <c r="J10" s="22" t="s">
        <v>179</v>
      </c>
      <c r="K10" s="22" t="s">
        <v>139</v>
      </c>
      <c r="L10" s="22" t="s">
        <v>180</v>
      </c>
      <c r="M10" s="22" t="s">
        <v>181</v>
      </c>
      <c r="N10" s="22" t="s">
        <v>139</v>
      </c>
      <c r="O10" s="22">
        <v>198</v>
      </c>
      <c r="P10" s="22" t="s">
        <v>143</v>
      </c>
      <c r="Q10" s="22" t="s">
        <v>144</v>
      </c>
      <c r="R10" s="22" t="s">
        <v>144</v>
      </c>
      <c r="S10" s="22" t="s">
        <v>182</v>
      </c>
      <c r="T10" s="24" t="s">
        <v>183</v>
      </c>
    </row>
    <row r="11" spans="1:20" ht="30" x14ac:dyDescent="0.25">
      <c r="A11" s="22" t="s">
        <v>139</v>
      </c>
      <c r="B11" s="22">
        <v>1</v>
      </c>
      <c r="C11" s="22" t="s">
        <v>54</v>
      </c>
      <c r="D11" s="22" t="s">
        <v>55</v>
      </c>
      <c r="E11" s="22" t="s">
        <v>184</v>
      </c>
      <c r="F11" s="22" t="s">
        <v>56</v>
      </c>
      <c r="G11" s="22" t="s">
        <v>185</v>
      </c>
      <c r="H11" s="22"/>
      <c r="I11" s="22">
        <v>22.5</v>
      </c>
      <c r="J11" s="22" t="s">
        <v>186</v>
      </c>
      <c r="K11" s="22" t="s">
        <v>139</v>
      </c>
      <c r="L11" s="22" t="s">
        <v>187</v>
      </c>
      <c r="M11" s="22" t="s">
        <v>188</v>
      </c>
      <c r="N11" s="22" t="s">
        <v>159</v>
      </c>
      <c r="O11" s="22">
        <v>0</v>
      </c>
      <c r="P11" s="22"/>
      <c r="Q11" s="22" t="s">
        <v>144</v>
      </c>
      <c r="R11" s="22" t="s">
        <v>144</v>
      </c>
      <c r="S11" s="22" t="s">
        <v>189</v>
      </c>
      <c r="T11" s="24" t="s">
        <v>93</v>
      </c>
    </row>
    <row r="12" spans="1:20" ht="45" x14ac:dyDescent="0.25">
      <c r="A12" s="22" t="s">
        <v>139</v>
      </c>
      <c r="B12" s="22">
        <v>2</v>
      </c>
      <c r="C12" s="22" t="s">
        <v>59</v>
      </c>
      <c r="D12" s="22" t="s">
        <v>61</v>
      </c>
      <c r="E12" s="22" t="s">
        <v>190</v>
      </c>
      <c r="F12" s="22" t="s">
        <v>62</v>
      </c>
      <c r="G12" s="22" t="s">
        <v>191</v>
      </c>
      <c r="H12" s="22"/>
      <c r="I12" s="22">
        <v>11.25</v>
      </c>
      <c r="J12" s="22" t="s">
        <v>179</v>
      </c>
      <c r="K12" s="22" t="s">
        <v>139</v>
      </c>
      <c r="L12" s="22" t="s">
        <v>192</v>
      </c>
      <c r="M12" s="22"/>
      <c r="N12" s="22" t="s">
        <v>139</v>
      </c>
      <c r="O12" s="22">
        <v>28</v>
      </c>
      <c r="P12" s="22" t="s">
        <v>193</v>
      </c>
      <c r="Q12" s="22" t="s">
        <v>144</v>
      </c>
      <c r="R12" s="22" t="s">
        <v>144</v>
      </c>
      <c r="S12" s="22" t="s">
        <v>194</v>
      </c>
      <c r="T12" s="24" t="s">
        <v>195</v>
      </c>
    </row>
    <row r="13" spans="1:20" ht="45" x14ac:dyDescent="0.25">
      <c r="A13" s="22" t="s">
        <v>139</v>
      </c>
      <c r="B13" s="22">
        <v>26</v>
      </c>
      <c r="C13" s="22" t="s">
        <v>65</v>
      </c>
      <c r="D13" s="22" t="s">
        <v>66</v>
      </c>
      <c r="E13" s="22" t="s">
        <v>196</v>
      </c>
      <c r="F13" s="22" t="s">
        <v>66</v>
      </c>
      <c r="G13" s="22" t="s">
        <v>197</v>
      </c>
      <c r="H13" s="22"/>
      <c r="I13" s="22">
        <v>22.5</v>
      </c>
      <c r="J13" s="22" t="s">
        <v>198</v>
      </c>
      <c r="K13" s="22" t="s">
        <v>139</v>
      </c>
      <c r="L13" s="22" t="s">
        <v>199</v>
      </c>
      <c r="M13" s="22"/>
      <c r="N13" s="22" t="s">
        <v>139</v>
      </c>
      <c r="O13" s="22">
        <v>110</v>
      </c>
      <c r="P13" s="22" t="s">
        <v>200</v>
      </c>
      <c r="Q13" s="22" t="s">
        <v>144</v>
      </c>
      <c r="R13" s="22" t="s">
        <v>144</v>
      </c>
      <c r="S13" s="22" t="s">
        <v>201</v>
      </c>
      <c r="T13" s="24" t="s">
        <v>202</v>
      </c>
    </row>
    <row r="14" spans="1:20" ht="60" x14ac:dyDescent="0.25">
      <c r="A14" s="22" t="s">
        <v>139</v>
      </c>
      <c r="B14" s="22">
        <v>5</v>
      </c>
      <c r="C14" s="22" t="s">
        <v>69</v>
      </c>
      <c r="D14" s="22" t="s">
        <v>70</v>
      </c>
      <c r="E14" s="22" t="s">
        <v>71</v>
      </c>
      <c r="F14" s="22" t="s">
        <v>71</v>
      </c>
      <c r="G14" s="22" t="s">
        <v>203</v>
      </c>
      <c r="H14" s="22"/>
      <c r="I14" s="22">
        <v>22.5</v>
      </c>
      <c r="J14" s="22" t="s">
        <v>204</v>
      </c>
      <c r="K14" s="22" t="s">
        <v>139</v>
      </c>
      <c r="L14" s="22" t="s">
        <v>205</v>
      </c>
      <c r="M14" s="22"/>
      <c r="N14" s="22" t="s">
        <v>139</v>
      </c>
      <c r="O14" s="22">
        <v>42</v>
      </c>
      <c r="P14" s="22" t="s">
        <v>206</v>
      </c>
      <c r="Q14" s="22" t="s">
        <v>144</v>
      </c>
      <c r="R14" s="22" t="s">
        <v>144</v>
      </c>
      <c r="S14" s="22" t="s">
        <v>145</v>
      </c>
      <c r="T14" s="24" t="s">
        <v>96</v>
      </c>
    </row>
    <row r="15" spans="1:20" ht="45" x14ac:dyDescent="0.25">
      <c r="A15" s="22" t="s">
        <v>139</v>
      </c>
      <c r="B15" s="22">
        <v>1</v>
      </c>
      <c r="C15" s="22" t="s">
        <v>74</v>
      </c>
      <c r="D15" s="22" t="s">
        <v>207</v>
      </c>
      <c r="E15" s="22" t="s">
        <v>76</v>
      </c>
      <c r="F15" s="22" t="s">
        <v>76</v>
      </c>
      <c r="G15" s="22" t="s">
        <v>208</v>
      </c>
      <c r="H15" s="22">
        <v>78</v>
      </c>
      <c r="I15" s="22"/>
      <c r="J15" s="22"/>
      <c r="K15" s="22" t="s">
        <v>139</v>
      </c>
      <c r="L15" s="22" t="s">
        <v>209</v>
      </c>
      <c r="M15" s="22"/>
      <c r="N15" s="22" t="s">
        <v>139</v>
      </c>
      <c r="O15" s="22">
        <v>30</v>
      </c>
      <c r="P15" s="22" t="s">
        <v>210</v>
      </c>
      <c r="Q15" s="22" t="s">
        <v>153</v>
      </c>
      <c r="R15" s="22" t="s">
        <v>144</v>
      </c>
      <c r="S15" s="22" t="s">
        <v>211</v>
      </c>
      <c r="T15" s="24" t="s">
        <v>212</v>
      </c>
    </row>
    <row r="16" spans="1:20" ht="60" x14ac:dyDescent="0.25">
      <c r="A16" s="22" t="s">
        <v>139</v>
      </c>
      <c r="B16" s="22">
        <v>1</v>
      </c>
      <c r="C16" s="22" t="s">
        <v>78</v>
      </c>
      <c r="D16" s="22" t="s">
        <v>213</v>
      </c>
      <c r="E16" s="22" t="s">
        <v>80</v>
      </c>
      <c r="F16" s="22" t="s">
        <v>80</v>
      </c>
      <c r="G16" s="22" t="s">
        <v>214</v>
      </c>
      <c r="H16" s="22">
        <v>87</v>
      </c>
      <c r="I16" s="22"/>
      <c r="J16" s="22"/>
      <c r="K16" s="22" t="s">
        <v>139</v>
      </c>
      <c r="L16" s="22" t="s">
        <v>215</v>
      </c>
      <c r="M16" s="22"/>
      <c r="N16" s="22" t="s">
        <v>139</v>
      </c>
      <c r="O16" s="22">
        <v>30</v>
      </c>
      <c r="P16" s="22" t="s">
        <v>216</v>
      </c>
      <c r="Q16" s="22" t="s">
        <v>153</v>
      </c>
      <c r="R16" s="22" t="s">
        <v>144</v>
      </c>
      <c r="S16" s="22" t="s">
        <v>217</v>
      </c>
      <c r="T16" s="24" t="s">
        <v>218</v>
      </c>
    </row>
    <row r="17" spans="1:20" ht="60" x14ac:dyDescent="0.25">
      <c r="A17" s="22" t="s">
        <v>139</v>
      </c>
      <c r="B17" s="22">
        <v>1</v>
      </c>
      <c r="C17" s="22" t="s">
        <v>81</v>
      </c>
      <c r="D17" s="22" t="s">
        <v>82</v>
      </c>
      <c r="E17" s="22" t="s">
        <v>83</v>
      </c>
      <c r="F17" s="22" t="s">
        <v>83</v>
      </c>
      <c r="G17" s="22" t="s">
        <v>219</v>
      </c>
      <c r="H17" s="22">
        <v>175</v>
      </c>
      <c r="I17" s="22"/>
      <c r="J17" s="22"/>
      <c r="K17" s="22" t="s">
        <v>139</v>
      </c>
      <c r="L17" s="22" t="s">
        <v>220</v>
      </c>
      <c r="M17" s="22" t="s">
        <v>221</v>
      </c>
      <c r="N17" s="22" t="s">
        <v>139</v>
      </c>
      <c r="O17" s="22">
        <v>132</v>
      </c>
      <c r="P17" s="22" t="s">
        <v>143</v>
      </c>
      <c r="Q17" s="22" t="s">
        <v>153</v>
      </c>
      <c r="R17" s="22" t="s">
        <v>144</v>
      </c>
      <c r="S17" s="22" t="s">
        <v>222</v>
      </c>
      <c r="T17" s="24" t="s">
        <v>223</v>
      </c>
    </row>
    <row r="18" spans="1:20" ht="60" x14ac:dyDescent="0.25">
      <c r="A18" s="22" t="s">
        <v>159</v>
      </c>
      <c r="B18" s="22">
        <v>0</v>
      </c>
      <c r="C18" s="22" t="s">
        <v>224</v>
      </c>
      <c r="D18" s="22" t="s">
        <v>225</v>
      </c>
      <c r="E18" s="22" t="s">
        <v>225</v>
      </c>
      <c r="F18" s="22"/>
      <c r="G18" s="22" t="s">
        <v>226</v>
      </c>
      <c r="H18" s="22"/>
      <c r="I18" s="22"/>
      <c r="J18" s="22"/>
      <c r="K18" s="22" t="s">
        <v>139</v>
      </c>
      <c r="L18" s="22"/>
      <c r="M18" s="22"/>
      <c r="N18" s="22" t="s">
        <v>139</v>
      </c>
      <c r="O18" s="22">
        <v>15</v>
      </c>
      <c r="P18" s="22" t="s">
        <v>143</v>
      </c>
      <c r="Q18" s="22" t="s">
        <v>227</v>
      </c>
      <c r="R18" s="22" t="s">
        <v>228</v>
      </c>
      <c r="S18" s="22" t="s">
        <v>229</v>
      </c>
      <c r="T18" s="24" t="s">
        <v>230</v>
      </c>
    </row>
    <row r="19" spans="1:20" ht="45" x14ac:dyDescent="0.25">
      <c r="A19" s="22" t="s">
        <v>159</v>
      </c>
      <c r="B19" s="22">
        <v>0</v>
      </c>
      <c r="C19" s="22" t="s">
        <v>231</v>
      </c>
      <c r="D19" s="22" t="s">
        <v>232</v>
      </c>
      <c r="E19" s="22" t="s">
        <v>232</v>
      </c>
      <c r="F19" s="22"/>
      <c r="G19" s="22" t="s">
        <v>233</v>
      </c>
      <c r="H19" s="22"/>
      <c r="I19" s="22">
        <v>45</v>
      </c>
      <c r="J19" s="22"/>
      <c r="K19" s="22" t="s">
        <v>139</v>
      </c>
      <c r="L19" s="22" t="s">
        <v>234</v>
      </c>
      <c r="M19" s="22"/>
      <c r="N19" s="22" t="s">
        <v>139</v>
      </c>
      <c r="O19" s="22">
        <v>14</v>
      </c>
      <c r="P19" s="22" t="s">
        <v>235</v>
      </c>
      <c r="Q19" s="22" t="s">
        <v>236</v>
      </c>
      <c r="R19" s="22" t="s">
        <v>237</v>
      </c>
      <c r="S19" s="22" t="s">
        <v>238</v>
      </c>
      <c r="T19" s="24" t="s">
        <v>239</v>
      </c>
    </row>
    <row r="20" spans="1:20" ht="60" x14ac:dyDescent="0.25">
      <c r="A20" s="22" t="s">
        <v>159</v>
      </c>
      <c r="B20" s="22">
        <v>0</v>
      </c>
      <c r="C20" s="22" t="s">
        <v>240</v>
      </c>
      <c r="D20" s="22" t="s">
        <v>241</v>
      </c>
      <c r="E20" s="22" t="s">
        <v>241</v>
      </c>
      <c r="F20" s="22" t="s">
        <v>242</v>
      </c>
      <c r="G20" s="22" t="s">
        <v>243</v>
      </c>
      <c r="H20" s="22"/>
      <c r="I20" s="22"/>
      <c r="J20" s="22"/>
      <c r="K20" s="22" t="s">
        <v>139</v>
      </c>
      <c r="L20" s="22" t="s">
        <v>244</v>
      </c>
      <c r="M20" s="22"/>
      <c r="N20" s="22" t="s">
        <v>139</v>
      </c>
      <c r="O20" s="22">
        <v>84</v>
      </c>
      <c r="P20" s="22" t="s">
        <v>245</v>
      </c>
      <c r="Q20" s="22" t="s">
        <v>236</v>
      </c>
      <c r="R20" s="22" t="s">
        <v>237</v>
      </c>
      <c r="S20" s="22" t="s">
        <v>246</v>
      </c>
      <c r="T20" s="24" t="s">
        <v>247</v>
      </c>
    </row>
    <row r="21" spans="1:20" ht="60" x14ac:dyDescent="0.25">
      <c r="A21" s="22" t="s">
        <v>159</v>
      </c>
      <c r="B21" s="22">
        <v>0</v>
      </c>
      <c r="C21" s="22" t="s">
        <v>248</v>
      </c>
      <c r="D21" s="22" t="s">
        <v>249</v>
      </c>
      <c r="E21" s="22" t="s">
        <v>249</v>
      </c>
      <c r="F21" s="22"/>
      <c r="G21" s="22" t="s">
        <v>243</v>
      </c>
      <c r="H21" s="22"/>
      <c r="I21" s="22"/>
      <c r="J21" s="22"/>
      <c r="K21" s="22" t="s">
        <v>139</v>
      </c>
      <c r="L21" s="22" t="s">
        <v>250</v>
      </c>
      <c r="M21" s="22"/>
      <c r="N21" s="22" t="s">
        <v>139</v>
      </c>
      <c r="O21" s="22">
        <v>17</v>
      </c>
      <c r="P21" s="22" t="s">
        <v>251</v>
      </c>
      <c r="Q21" s="22" t="s">
        <v>237</v>
      </c>
      <c r="R21" s="22" t="s">
        <v>237</v>
      </c>
      <c r="S21" s="22" t="s">
        <v>252</v>
      </c>
      <c r="T21" s="24" t="s">
        <v>253</v>
      </c>
    </row>
    <row r="22" spans="1:20" ht="45" x14ac:dyDescent="0.25">
      <c r="A22" s="22" t="s">
        <v>159</v>
      </c>
      <c r="B22" s="22">
        <v>0</v>
      </c>
      <c r="C22" s="22" t="s">
        <v>254</v>
      </c>
      <c r="D22" s="22" t="s">
        <v>190</v>
      </c>
      <c r="E22" s="22" t="s">
        <v>190</v>
      </c>
      <c r="F22" s="22" t="s">
        <v>255</v>
      </c>
      <c r="G22" s="22" t="s">
        <v>256</v>
      </c>
      <c r="H22" s="22"/>
      <c r="I22" s="22">
        <v>11.25</v>
      </c>
      <c r="J22" s="22"/>
      <c r="K22" s="22" t="s">
        <v>139</v>
      </c>
      <c r="L22" s="22" t="s">
        <v>192</v>
      </c>
      <c r="M22" s="22"/>
      <c r="N22" s="22" t="s">
        <v>139</v>
      </c>
      <c r="O22" s="22">
        <v>14</v>
      </c>
      <c r="P22" s="22" t="s">
        <v>193</v>
      </c>
      <c r="Q22" s="22" t="s">
        <v>237</v>
      </c>
      <c r="R22" s="22" t="s">
        <v>237</v>
      </c>
      <c r="S22" s="22" t="s">
        <v>257</v>
      </c>
      <c r="T22" s="24" t="s">
        <v>195</v>
      </c>
    </row>
    <row r="23" spans="1:20" ht="60" x14ac:dyDescent="0.25">
      <c r="A23" s="22" t="s">
        <v>159</v>
      </c>
      <c r="B23" s="22">
        <v>0</v>
      </c>
      <c r="C23" s="22" t="s">
        <v>258</v>
      </c>
      <c r="D23" s="22" t="s">
        <v>259</v>
      </c>
      <c r="E23" s="22" t="s">
        <v>259</v>
      </c>
      <c r="F23" s="22"/>
      <c r="G23" s="22" t="s">
        <v>260</v>
      </c>
      <c r="H23" s="22"/>
      <c r="I23" s="22"/>
      <c r="J23" s="22"/>
      <c r="K23" s="22" t="s">
        <v>139</v>
      </c>
      <c r="L23" s="22" t="s">
        <v>261</v>
      </c>
      <c r="M23" s="22"/>
      <c r="N23" s="22" t="s">
        <v>139</v>
      </c>
      <c r="O23" s="22">
        <v>21</v>
      </c>
      <c r="P23" s="22" t="s">
        <v>245</v>
      </c>
      <c r="Q23" s="22" t="s">
        <v>236</v>
      </c>
      <c r="R23" s="22" t="s">
        <v>236</v>
      </c>
      <c r="S23" s="22" t="s">
        <v>262</v>
      </c>
      <c r="T23" s="24" t="s">
        <v>263</v>
      </c>
    </row>
    <row r="24" spans="1:20" ht="60" x14ac:dyDescent="0.25">
      <c r="A24" s="22" t="s">
        <v>159</v>
      </c>
      <c r="B24" s="22">
        <v>0</v>
      </c>
      <c r="C24" s="22" t="s">
        <v>264</v>
      </c>
      <c r="D24" s="22" t="s">
        <v>265</v>
      </c>
      <c r="E24" s="22" t="s">
        <v>265</v>
      </c>
      <c r="F24" s="22"/>
      <c r="G24" s="22" t="s">
        <v>260</v>
      </c>
      <c r="H24" s="22"/>
      <c r="I24" s="22"/>
      <c r="J24" s="22"/>
      <c r="K24" s="22" t="s">
        <v>139</v>
      </c>
      <c r="L24" s="22" t="s">
        <v>261</v>
      </c>
      <c r="M24" s="22"/>
      <c r="N24" s="22" t="s">
        <v>139</v>
      </c>
      <c r="O24" s="22">
        <v>21</v>
      </c>
      <c r="P24" s="22" t="s">
        <v>245</v>
      </c>
      <c r="Q24" s="22" t="s">
        <v>236</v>
      </c>
      <c r="R24" s="22" t="s">
        <v>236</v>
      </c>
      <c r="S24" s="22" t="s">
        <v>262</v>
      </c>
      <c r="T24" s="24" t="s">
        <v>266</v>
      </c>
    </row>
    <row r="25" spans="1:20" ht="75" x14ac:dyDescent="0.25">
      <c r="A25" s="22" t="s">
        <v>159</v>
      </c>
      <c r="B25" s="22">
        <v>0</v>
      </c>
      <c r="C25" s="22" t="s">
        <v>267</v>
      </c>
      <c r="D25" s="22" t="s">
        <v>268</v>
      </c>
      <c r="E25" s="22" t="s">
        <v>268</v>
      </c>
      <c r="F25" s="22"/>
      <c r="G25" s="22" t="s">
        <v>269</v>
      </c>
      <c r="H25" s="22"/>
      <c r="I25" s="22"/>
      <c r="J25" s="22"/>
      <c r="K25" s="22" t="s">
        <v>139</v>
      </c>
      <c r="L25" s="22" t="s">
        <v>270</v>
      </c>
      <c r="M25" s="22"/>
      <c r="N25" s="22" t="s">
        <v>139</v>
      </c>
      <c r="O25" s="22">
        <v>30</v>
      </c>
      <c r="P25" s="22" t="s">
        <v>271</v>
      </c>
      <c r="Q25" s="22" t="s">
        <v>236</v>
      </c>
      <c r="R25" s="22" t="s">
        <v>236</v>
      </c>
      <c r="S25" s="22" t="s">
        <v>272</v>
      </c>
      <c r="T25" s="24" t="s">
        <v>273</v>
      </c>
    </row>
    <row r="26" spans="1:20" ht="60" x14ac:dyDescent="0.25">
      <c r="A26" s="22" t="s">
        <v>159</v>
      </c>
      <c r="B26" s="22">
        <v>0</v>
      </c>
      <c r="C26" s="22" t="s">
        <v>274</v>
      </c>
      <c r="D26" s="22" t="s">
        <v>275</v>
      </c>
      <c r="E26" s="22" t="s">
        <v>275</v>
      </c>
      <c r="F26" s="22"/>
      <c r="G26" s="22" t="s">
        <v>269</v>
      </c>
      <c r="H26" s="22"/>
      <c r="I26" s="22"/>
      <c r="J26" s="22"/>
      <c r="K26" s="22" t="s">
        <v>139</v>
      </c>
      <c r="L26" s="22" t="s">
        <v>276</v>
      </c>
      <c r="M26" s="22"/>
      <c r="N26" s="22" t="s">
        <v>139</v>
      </c>
      <c r="O26" s="22">
        <v>4</v>
      </c>
      <c r="P26" s="22" t="s">
        <v>277</v>
      </c>
      <c r="Q26" s="22" t="s">
        <v>236</v>
      </c>
      <c r="R26" s="22" t="s">
        <v>236</v>
      </c>
      <c r="S26" s="22" t="s">
        <v>272</v>
      </c>
      <c r="T26" s="24" t="s">
        <v>278</v>
      </c>
    </row>
    <row r="27" spans="1:20" ht="75" x14ac:dyDescent="0.25">
      <c r="A27" s="22" t="s">
        <v>159</v>
      </c>
      <c r="B27" s="22">
        <v>0</v>
      </c>
      <c r="C27" s="22" t="s">
        <v>274</v>
      </c>
      <c r="D27" s="22" t="s">
        <v>279</v>
      </c>
      <c r="E27" s="22" t="s">
        <v>279</v>
      </c>
      <c r="F27" s="22"/>
      <c r="G27" s="22" t="s">
        <v>269</v>
      </c>
      <c r="H27" s="22"/>
      <c r="I27" s="22"/>
      <c r="J27" s="22"/>
      <c r="K27" s="22" t="s">
        <v>139</v>
      </c>
      <c r="L27" s="22" t="s">
        <v>280</v>
      </c>
      <c r="M27" s="22"/>
      <c r="N27" s="22" t="s">
        <v>139</v>
      </c>
      <c r="O27" s="22">
        <v>10</v>
      </c>
      <c r="P27" s="22" t="s">
        <v>271</v>
      </c>
      <c r="Q27" s="22" t="s">
        <v>236</v>
      </c>
      <c r="R27" s="22" t="s">
        <v>236</v>
      </c>
      <c r="S27" s="22" t="s">
        <v>272</v>
      </c>
      <c r="T27" s="24" t="s">
        <v>281</v>
      </c>
    </row>
    <row r="28" spans="1:20" ht="30" x14ac:dyDescent="0.25">
      <c r="A28" s="22" t="s">
        <v>159</v>
      </c>
      <c r="B28" s="22">
        <v>0</v>
      </c>
      <c r="C28" s="22" t="s">
        <v>282</v>
      </c>
      <c r="D28" s="22" t="s">
        <v>283</v>
      </c>
      <c r="E28" s="22" t="s">
        <v>283</v>
      </c>
      <c r="F28" s="22"/>
      <c r="G28" s="22" t="s">
        <v>284</v>
      </c>
      <c r="H28" s="22"/>
      <c r="I28" s="22"/>
      <c r="J28" s="22"/>
      <c r="K28" s="22" t="s">
        <v>139</v>
      </c>
      <c r="L28" s="22" t="s">
        <v>285</v>
      </c>
      <c r="M28" s="22"/>
      <c r="N28" s="22" t="s">
        <v>139</v>
      </c>
      <c r="O28" s="22">
        <v>1</v>
      </c>
      <c r="P28" s="22" t="s">
        <v>286</v>
      </c>
      <c r="Q28" s="22" t="s">
        <v>236</v>
      </c>
      <c r="R28" s="22" t="s">
        <v>236</v>
      </c>
      <c r="S28" s="22" t="s">
        <v>272</v>
      </c>
      <c r="T28" s="24" t="s">
        <v>287</v>
      </c>
    </row>
  </sheetData>
  <mergeCells count="1">
    <mergeCell ref="A1:S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workbookViewId="0"/>
  </sheetViews>
  <sheetFormatPr defaultRowHeight="15" x14ac:dyDescent="0.25"/>
  <cols>
    <col min="1" max="1" width="32" customWidth="1"/>
    <col min="2" max="2" width="8" customWidth="1"/>
    <col min="3" max="6" width="22" customWidth="1"/>
    <col min="7" max="8" width="10" customWidth="1"/>
    <col min="9" max="9" width="18" customWidth="1"/>
    <col min="10" max="10" width="48" customWidth="1"/>
  </cols>
  <sheetData>
    <row r="1" spans="1:10" ht="24" customHeight="1" x14ac:dyDescent="0.25">
      <c r="A1" s="27" t="s">
        <v>288</v>
      </c>
      <c r="B1" s="27"/>
      <c r="C1" s="27"/>
      <c r="D1" s="27"/>
      <c r="E1" s="27"/>
      <c r="F1" s="27"/>
      <c r="G1" s="27"/>
      <c r="H1" s="27"/>
      <c r="I1" s="27"/>
      <c r="J1" s="27"/>
    </row>
    <row r="3" spans="1:10" ht="32.1" customHeight="1" x14ac:dyDescent="0.25">
      <c r="A3" s="21" t="s">
        <v>289</v>
      </c>
      <c r="B3" s="21" t="s">
        <v>0</v>
      </c>
      <c r="C3" s="21" t="s">
        <v>124</v>
      </c>
      <c r="D3" s="21" t="s">
        <v>290</v>
      </c>
      <c r="E3" s="21" t="s">
        <v>291</v>
      </c>
      <c r="F3" s="21" t="s">
        <v>127</v>
      </c>
      <c r="G3" s="21" t="s">
        <v>128</v>
      </c>
      <c r="H3" s="21" t="s">
        <v>129</v>
      </c>
      <c r="I3" s="21" t="s">
        <v>292</v>
      </c>
      <c r="J3" s="21" t="s">
        <v>105</v>
      </c>
    </row>
    <row r="4" spans="1:10" x14ac:dyDescent="0.25">
      <c r="A4" s="22" t="s">
        <v>19</v>
      </c>
      <c r="B4" s="22">
        <v>39</v>
      </c>
      <c r="C4" s="22" t="s">
        <v>21</v>
      </c>
      <c r="D4" s="22" t="s">
        <v>22</v>
      </c>
      <c r="E4" s="22" t="s">
        <v>22</v>
      </c>
      <c r="F4" s="22" t="s">
        <v>140</v>
      </c>
      <c r="G4" s="22">
        <v>350</v>
      </c>
      <c r="H4" s="22"/>
      <c r="I4" s="22"/>
      <c r="J4" s="22" t="s">
        <v>145</v>
      </c>
    </row>
    <row r="5" spans="1:10" ht="30" x14ac:dyDescent="0.25">
      <c r="A5" s="22" t="s">
        <v>24</v>
      </c>
      <c r="B5" s="22">
        <v>2</v>
      </c>
      <c r="C5" s="22" t="s">
        <v>25</v>
      </c>
      <c r="D5" s="22" t="s">
        <v>148</v>
      </c>
      <c r="E5" s="22" t="s">
        <v>147</v>
      </c>
      <c r="F5" s="22" t="s">
        <v>149</v>
      </c>
      <c r="G5" s="22">
        <v>350</v>
      </c>
      <c r="H5" s="22"/>
      <c r="I5" s="22"/>
      <c r="J5" s="22" t="s">
        <v>154</v>
      </c>
    </row>
    <row r="6" spans="1:10" ht="30" x14ac:dyDescent="0.25">
      <c r="A6" s="22" t="s">
        <v>28</v>
      </c>
      <c r="B6" s="22">
        <v>2</v>
      </c>
      <c r="C6" s="22" t="s">
        <v>29</v>
      </c>
      <c r="D6" s="22" t="s">
        <v>30</v>
      </c>
      <c r="E6" s="22" t="s">
        <v>30</v>
      </c>
      <c r="F6" s="22" t="s">
        <v>156</v>
      </c>
      <c r="G6" s="22">
        <v>350</v>
      </c>
      <c r="H6" s="22"/>
      <c r="I6" s="22"/>
      <c r="J6" s="22" t="s">
        <v>160</v>
      </c>
    </row>
    <row r="7" spans="1:10" ht="30" x14ac:dyDescent="0.25">
      <c r="A7" s="22" t="s">
        <v>32</v>
      </c>
      <c r="B7" s="22">
        <v>3</v>
      </c>
      <c r="C7" s="22" t="s">
        <v>161</v>
      </c>
      <c r="D7" s="22" t="s">
        <v>163</v>
      </c>
      <c r="E7" s="22" t="s">
        <v>162</v>
      </c>
      <c r="F7" s="22" t="s">
        <v>164</v>
      </c>
      <c r="G7" s="22">
        <v>350</v>
      </c>
      <c r="H7" s="22"/>
      <c r="I7" s="22"/>
      <c r="J7" s="22" t="s">
        <v>167</v>
      </c>
    </row>
    <row r="8" spans="1:10" x14ac:dyDescent="0.25">
      <c r="A8" s="22" t="s">
        <v>40</v>
      </c>
      <c r="B8" s="22">
        <v>7</v>
      </c>
      <c r="C8" s="22" t="s">
        <v>41</v>
      </c>
      <c r="D8" s="22" t="s">
        <v>42</v>
      </c>
      <c r="E8" s="22" t="s">
        <v>42</v>
      </c>
      <c r="F8" s="22" t="s">
        <v>169</v>
      </c>
      <c r="G8" s="22"/>
      <c r="H8" s="22">
        <v>90</v>
      </c>
      <c r="I8" s="22" t="s">
        <v>170</v>
      </c>
      <c r="J8" s="22" t="s">
        <v>173</v>
      </c>
    </row>
    <row r="9" spans="1:10" x14ac:dyDescent="0.25">
      <c r="A9" s="22" t="s">
        <v>45</v>
      </c>
      <c r="B9" s="22">
        <v>7</v>
      </c>
      <c r="C9" s="22" t="s">
        <v>46</v>
      </c>
      <c r="D9" s="22" t="s">
        <v>46</v>
      </c>
      <c r="E9" s="22" t="s">
        <v>46</v>
      </c>
      <c r="F9" s="22" t="s">
        <v>174</v>
      </c>
      <c r="G9" s="22"/>
      <c r="H9" s="22">
        <v>60</v>
      </c>
      <c r="I9" s="22"/>
      <c r="J9" s="22" t="s">
        <v>176</v>
      </c>
    </row>
    <row r="10" spans="1:10" x14ac:dyDescent="0.25">
      <c r="A10" s="22" t="s">
        <v>49</v>
      </c>
      <c r="B10" s="22">
        <v>11</v>
      </c>
      <c r="C10" s="22" t="s">
        <v>50</v>
      </c>
      <c r="D10" s="22" t="s">
        <v>51</v>
      </c>
      <c r="E10" s="22" t="s">
        <v>177</v>
      </c>
      <c r="F10" s="22" t="s">
        <v>178</v>
      </c>
      <c r="G10" s="22"/>
      <c r="H10" s="22">
        <v>45</v>
      </c>
      <c r="I10" s="22" t="s">
        <v>179</v>
      </c>
      <c r="J10" s="22" t="s">
        <v>182</v>
      </c>
    </row>
    <row r="11" spans="1:10" x14ac:dyDescent="0.25">
      <c r="A11" s="22" t="s">
        <v>54</v>
      </c>
      <c r="B11" s="22">
        <v>1</v>
      </c>
      <c r="C11" s="22" t="s">
        <v>55</v>
      </c>
      <c r="D11" s="22" t="s">
        <v>56</v>
      </c>
      <c r="E11" s="22" t="s">
        <v>184</v>
      </c>
      <c r="F11" s="22" t="s">
        <v>185</v>
      </c>
      <c r="G11" s="22"/>
      <c r="H11" s="22">
        <v>22.5</v>
      </c>
      <c r="I11" s="22" t="s">
        <v>186</v>
      </c>
      <c r="J11" s="22" t="s">
        <v>189</v>
      </c>
    </row>
    <row r="12" spans="1:10" x14ac:dyDescent="0.25">
      <c r="A12" s="22" t="s">
        <v>59</v>
      </c>
      <c r="B12" s="22">
        <v>2</v>
      </c>
      <c r="C12" s="22" t="s">
        <v>61</v>
      </c>
      <c r="D12" s="22" t="s">
        <v>62</v>
      </c>
      <c r="E12" s="22" t="s">
        <v>190</v>
      </c>
      <c r="F12" s="22" t="s">
        <v>191</v>
      </c>
      <c r="G12" s="22"/>
      <c r="H12" s="22">
        <v>11.25</v>
      </c>
      <c r="I12" s="22" t="s">
        <v>179</v>
      </c>
      <c r="J12" s="22" t="s">
        <v>194</v>
      </c>
    </row>
    <row r="13" spans="1:10" x14ac:dyDescent="0.25">
      <c r="A13" s="22" t="s">
        <v>65</v>
      </c>
      <c r="B13" s="22">
        <v>26</v>
      </c>
      <c r="C13" s="22" t="s">
        <v>66</v>
      </c>
      <c r="D13" s="22" t="s">
        <v>66</v>
      </c>
      <c r="E13" s="22" t="s">
        <v>196</v>
      </c>
      <c r="F13" s="22" t="s">
        <v>197</v>
      </c>
      <c r="G13" s="22"/>
      <c r="H13" s="22">
        <v>22.5</v>
      </c>
      <c r="I13" s="22" t="s">
        <v>198</v>
      </c>
      <c r="J13" s="22" t="s">
        <v>201</v>
      </c>
    </row>
    <row r="14" spans="1:10" x14ac:dyDescent="0.25">
      <c r="A14" s="22" t="s">
        <v>69</v>
      </c>
      <c r="B14" s="22">
        <v>5</v>
      </c>
      <c r="C14" s="22" t="s">
        <v>70</v>
      </c>
      <c r="D14" s="22" t="s">
        <v>71</v>
      </c>
      <c r="E14" s="22" t="s">
        <v>71</v>
      </c>
      <c r="F14" s="22" t="s">
        <v>203</v>
      </c>
      <c r="G14" s="22"/>
      <c r="H14" s="22">
        <v>22.5</v>
      </c>
      <c r="I14" s="22" t="s">
        <v>204</v>
      </c>
      <c r="J14" s="22" t="s">
        <v>145</v>
      </c>
    </row>
    <row r="15" spans="1:10" x14ac:dyDescent="0.25">
      <c r="A15" s="22" t="s">
        <v>74</v>
      </c>
      <c r="B15" s="22">
        <v>1</v>
      </c>
      <c r="C15" s="22" t="s">
        <v>207</v>
      </c>
      <c r="D15" s="22" t="s">
        <v>76</v>
      </c>
      <c r="E15" s="22" t="s">
        <v>76</v>
      </c>
      <c r="F15" s="22" t="s">
        <v>208</v>
      </c>
      <c r="G15" s="22">
        <v>78</v>
      </c>
      <c r="H15" s="22"/>
      <c r="I15" s="22"/>
      <c r="J15" s="22" t="s">
        <v>211</v>
      </c>
    </row>
    <row r="16" spans="1:10" x14ac:dyDescent="0.25">
      <c r="A16" s="22" t="s">
        <v>78</v>
      </c>
      <c r="B16" s="22">
        <v>1</v>
      </c>
      <c r="C16" s="22" t="s">
        <v>213</v>
      </c>
      <c r="D16" s="22" t="s">
        <v>80</v>
      </c>
      <c r="E16" s="22" t="s">
        <v>80</v>
      </c>
      <c r="F16" s="22" t="s">
        <v>214</v>
      </c>
      <c r="G16" s="22">
        <v>87</v>
      </c>
      <c r="H16" s="22"/>
      <c r="I16" s="22"/>
      <c r="J16" s="22" t="s">
        <v>217</v>
      </c>
    </row>
    <row r="17" spans="1:10" x14ac:dyDescent="0.25">
      <c r="A17" s="22" t="s">
        <v>81</v>
      </c>
      <c r="B17" s="22">
        <v>1</v>
      </c>
      <c r="C17" s="22" t="s">
        <v>82</v>
      </c>
      <c r="D17" s="22" t="s">
        <v>83</v>
      </c>
      <c r="E17" s="22" t="s">
        <v>83</v>
      </c>
      <c r="F17" s="22" t="s">
        <v>219</v>
      </c>
      <c r="G17" s="22">
        <v>175</v>
      </c>
      <c r="H17" s="22"/>
      <c r="I17" s="22"/>
      <c r="J17" s="22" t="s">
        <v>222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workbookViewId="0"/>
  </sheetViews>
  <sheetFormatPr defaultRowHeight="15" x14ac:dyDescent="0.25"/>
  <cols>
    <col min="1" max="1" width="24" customWidth="1"/>
    <col min="2" max="2" width="34" customWidth="1"/>
    <col min="3" max="3" width="48" customWidth="1"/>
    <col min="4" max="4" width="34" customWidth="1"/>
  </cols>
  <sheetData>
    <row r="1" spans="1:4" ht="24" customHeight="1" x14ac:dyDescent="0.25">
      <c r="A1" s="27" t="s">
        <v>293</v>
      </c>
      <c r="B1" s="27"/>
      <c r="C1" s="27"/>
      <c r="D1" s="27"/>
    </row>
    <row r="3" spans="1:4" ht="32.1" customHeight="1" x14ac:dyDescent="0.25">
      <c r="A3" s="21" t="s">
        <v>294</v>
      </c>
      <c r="B3" s="21" t="s">
        <v>295</v>
      </c>
      <c r="C3" s="21" t="s">
        <v>296</v>
      </c>
      <c r="D3" s="21" t="s">
        <v>105</v>
      </c>
    </row>
    <row r="4" spans="1:4" ht="30" x14ac:dyDescent="0.25">
      <c r="A4" s="22" t="s">
        <v>297</v>
      </c>
      <c r="B4" s="22" t="s">
        <v>22</v>
      </c>
      <c r="C4" s="22" t="s">
        <v>298</v>
      </c>
      <c r="D4" s="22" t="s">
        <v>299</v>
      </c>
    </row>
    <row r="5" spans="1:4" x14ac:dyDescent="0.25">
      <c r="A5" s="22" t="s">
        <v>300</v>
      </c>
      <c r="B5" s="22" t="s">
        <v>83</v>
      </c>
      <c r="C5" s="22" t="s">
        <v>301</v>
      </c>
      <c r="D5" s="22" t="s">
        <v>84</v>
      </c>
    </row>
    <row r="6" spans="1:4" x14ac:dyDescent="0.25">
      <c r="A6" s="22" t="s">
        <v>302</v>
      </c>
      <c r="B6" s="22" t="s">
        <v>80</v>
      </c>
      <c r="C6" s="22" t="s">
        <v>303</v>
      </c>
      <c r="D6" s="22" t="s">
        <v>304</v>
      </c>
    </row>
    <row r="7" spans="1:4" x14ac:dyDescent="0.25">
      <c r="A7" s="22" t="s">
        <v>305</v>
      </c>
      <c r="B7" s="22" t="s">
        <v>76</v>
      </c>
      <c r="C7" s="22" t="s">
        <v>306</v>
      </c>
      <c r="D7" s="22" t="s">
        <v>208</v>
      </c>
    </row>
    <row r="8" spans="1:4" ht="30" x14ac:dyDescent="0.25">
      <c r="A8" s="22" t="s">
        <v>51</v>
      </c>
      <c r="B8" s="22" t="s">
        <v>177</v>
      </c>
      <c r="C8" s="22" t="s">
        <v>307</v>
      </c>
      <c r="D8" s="22" t="s">
        <v>308</v>
      </c>
    </row>
    <row r="9" spans="1:4" x14ac:dyDescent="0.25">
      <c r="A9" s="22" t="s">
        <v>66</v>
      </c>
      <c r="B9" s="22" t="s">
        <v>196</v>
      </c>
      <c r="C9" s="22" t="s">
        <v>309</v>
      </c>
      <c r="D9" s="22" t="s">
        <v>310</v>
      </c>
    </row>
    <row r="10" spans="1:4" x14ac:dyDescent="0.25">
      <c r="A10" s="22" t="s">
        <v>62</v>
      </c>
      <c r="B10" s="22" t="s">
        <v>190</v>
      </c>
      <c r="C10" s="22" t="s">
        <v>311</v>
      </c>
      <c r="D10" s="22" t="s">
        <v>312</v>
      </c>
    </row>
    <row r="11" spans="1:4" x14ac:dyDescent="0.25">
      <c r="A11" s="22" t="s">
        <v>25</v>
      </c>
      <c r="B11" s="22" t="s">
        <v>313</v>
      </c>
      <c r="C11" s="22" t="s">
        <v>314</v>
      </c>
      <c r="D11" s="22" t="s">
        <v>315</v>
      </c>
    </row>
    <row r="12" spans="1:4" x14ac:dyDescent="0.25">
      <c r="A12" s="22" t="s">
        <v>29</v>
      </c>
      <c r="B12" s="22" t="s">
        <v>30</v>
      </c>
      <c r="C12" s="22" t="s">
        <v>316</v>
      </c>
      <c r="D12" s="22" t="s">
        <v>156</v>
      </c>
    </row>
    <row r="13" spans="1:4" x14ac:dyDescent="0.25">
      <c r="A13" s="22" t="s">
        <v>33</v>
      </c>
      <c r="B13" s="22" t="s">
        <v>317</v>
      </c>
      <c r="C13" s="22" t="s">
        <v>318</v>
      </c>
      <c r="D13" s="22" t="s">
        <v>319</v>
      </c>
    </row>
    <row r="14" spans="1:4" x14ac:dyDescent="0.25">
      <c r="A14" s="22" t="s">
        <v>37</v>
      </c>
      <c r="B14" s="22" t="s">
        <v>38</v>
      </c>
      <c r="C14" s="22" t="s">
        <v>320</v>
      </c>
      <c r="D14" s="22" t="s">
        <v>321</v>
      </c>
    </row>
    <row r="15" spans="1:4" x14ac:dyDescent="0.25">
      <c r="A15" s="22" t="s">
        <v>55</v>
      </c>
      <c r="B15" s="22" t="s">
        <v>184</v>
      </c>
      <c r="C15" s="22" t="s">
        <v>322</v>
      </c>
      <c r="D15" s="22" t="s">
        <v>185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"/>
  <sheetViews>
    <sheetView workbookViewId="0"/>
  </sheetViews>
  <sheetFormatPr defaultRowHeight="15" x14ac:dyDescent="0.25"/>
  <cols>
    <col min="1" max="1" width="18" customWidth="1"/>
    <col min="2" max="2" width="16" customWidth="1"/>
    <col min="3" max="3" width="12" customWidth="1"/>
    <col min="4" max="4" width="70" customWidth="1"/>
  </cols>
  <sheetData>
    <row r="1" spans="1:4" ht="24" customHeight="1" x14ac:dyDescent="0.25">
      <c r="A1" s="27" t="s">
        <v>323</v>
      </c>
      <c r="B1" s="27"/>
      <c r="C1" s="27"/>
      <c r="D1" s="27"/>
    </row>
    <row r="3" spans="1:4" ht="32.1" customHeight="1" x14ac:dyDescent="0.25">
      <c r="A3" s="21" t="s">
        <v>324</v>
      </c>
      <c r="B3" s="21" t="s">
        <v>325</v>
      </c>
      <c r="C3" s="21" t="s">
        <v>326</v>
      </c>
      <c r="D3" s="21" t="s">
        <v>327</v>
      </c>
    </row>
    <row r="4" spans="1:4" ht="45" x14ac:dyDescent="0.25">
      <c r="A4" s="22" t="s">
        <v>268</v>
      </c>
      <c r="B4" s="22">
        <v>30</v>
      </c>
      <c r="C4" s="22">
        <v>7</v>
      </c>
      <c r="D4" s="22" t="s">
        <v>328</v>
      </c>
    </row>
    <row r="5" spans="1:4" ht="60" x14ac:dyDescent="0.25">
      <c r="A5" s="22" t="s">
        <v>225</v>
      </c>
      <c r="B5" s="22">
        <v>15</v>
      </c>
      <c r="C5" s="22">
        <v>13</v>
      </c>
      <c r="D5" s="22" t="s">
        <v>329</v>
      </c>
    </row>
    <row r="6" spans="1:4" ht="30" x14ac:dyDescent="0.25">
      <c r="A6" s="22" t="s">
        <v>275</v>
      </c>
      <c r="B6" s="22">
        <v>4</v>
      </c>
      <c r="C6" s="22">
        <v>3</v>
      </c>
      <c r="D6" s="22" t="s">
        <v>277</v>
      </c>
    </row>
    <row r="7" spans="1:4" ht="45" x14ac:dyDescent="0.25">
      <c r="A7" s="22" t="s">
        <v>330</v>
      </c>
      <c r="B7" s="22">
        <v>12</v>
      </c>
      <c r="C7" s="22">
        <v>5</v>
      </c>
      <c r="D7" s="22" t="s">
        <v>331</v>
      </c>
    </row>
    <row r="8" spans="1:4" x14ac:dyDescent="0.25">
      <c r="A8" s="22" t="s">
        <v>332</v>
      </c>
      <c r="B8" s="22">
        <v>4</v>
      </c>
      <c r="C8" s="22">
        <v>2</v>
      </c>
      <c r="D8" s="22" t="s">
        <v>333</v>
      </c>
    </row>
    <row r="9" spans="1:4" ht="45" x14ac:dyDescent="0.25">
      <c r="A9" s="22" t="s">
        <v>279</v>
      </c>
      <c r="B9" s="22">
        <v>10</v>
      </c>
      <c r="C9" s="22">
        <v>6</v>
      </c>
      <c r="D9" s="22" t="s">
        <v>334</v>
      </c>
    </row>
    <row r="10" spans="1:4" ht="45" x14ac:dyDescent="0.25">
      <c r="A10" s="22" t="s">
        <v>80</v>
      </c>
      <c r="B10" s="22">
        <v>15</v>
      </c>
      <c r="C10" s="22">
        <v>5</v>
      </c>
      <c r="D10" s="22" t="s">
        <v>335</v>
      </c>
    </row>
    <row r="11" spans="1:4" ht="30" x14ac:dyDescent="0.25">
      <c r="A11" s="22" t="s">
        <v>232</v>
      </c>
      <c r="B11" s="22">
        <v>14</v>
      </c>
      <c r="C11" s="22">
        <v>3</v>
      </c>
      <c r="D11" s="22" t="s">
        <v>235</v>
      </c>
    </row>
    <row r="12" spans="1:4" ht="45" x14ac:dyDescent="0.25">
      <c r="A12" s="22" t="s">
        <v>241</v>
      </c>
      <c r="B12" s="22">
        <v>84</v>
      </c>
      <c r="C12" s="22">
        <v>6</v>
      </c>
      <c r="D12" s="22" t="s">
        <v>336</v>
      </c>
    </row>
    <row r="13" spans="1:4" ht="60" x14ac:dyDescent="0.25">
      <c r="A13" s="22" t="s">
        <v>249</v>
      </c>
      <c r="B13" s="22">
        <v>17</v>
      </c>
      <c r="C13" s="22">
        <v>8</v>
      </c>
      <c r="D13" s="22" t="s">
        <v>337</v>
      </c>
    </row>
    <row r="14" spans="1:4" ht="45" x14ac:dyDescent="0.25">
      <c r="A14" s="22" t="s">
        <v>196</v>
      </c>
      <c r="B14" s="22">
        <v>55</v>
      </c>
      <c r="C14" s="22">
        <v>6</v>
      </c>
      <c r="D14" s="22" t="s">
        <v>338</v>
      </c>
    </row>
    <row r="15" spans="1:4" ht="60" x14ac:dyDescent="0.25">
      <c r="A15" s="22" t="s">
        <v>22</v>
      </c>
      <c r="B15" s="22">
        <v>158</v>
      </c>
      <c r="C15" s="22">
        <v>13</v>
      </c>
      <c r="D15" s="22" t="s">
        <v>329</v>
      </c>
    </row>
    <row r="16" spans="1:4" ht="60" x14ac:dyDescent="0.25">
      <c r="A16" s="22" t="s">
        <v>177</v>
      </c>
      <c r="B16" s="22">
        <v>99</v>
      </c>
      <c r="C16" s="22">
        <v>12</v>
      </c>
      <c r="D16" s="22" t="s">
        <v>339</v>
      </c>
    </row>
    <row r="17" spans="1:4" ht="60" x14ac:dyDescent="0.25">
      <c r="A17" s="22" t="s">
        <v>83</v>
      </c>
      <c r="B17" s="22">
        <v>66</v>
      </c>
      <c r="C17" s="22">
        <v>12</v>
      </c>
      <c r="D17" s="22" t="s">
        <v>340</v>
      </c>
    </row>
    <row r="18" spans="1:4" x14ac:dyDescent="0.25">
      <c r="A18" s="22" t="s">
        <v>341</v>
      </c>
      <c r="B18" s="22">
        <v>2</v>
      </c>
      <c r="C18" s="22">
        <v>2</v>
      </c>
      <c r="D18" s="22" t="s">
        <v>152</v>
      </c>
    </row>
    <row r="19" spans="1:4" ht="30" x14ac:dyDescent="0.25">
      <c r="A19" s="22" t="s">
        <v>190</v>
      </c>
      <c r="B19" s="22">
        <v>14</v>
      </c>
      <c r="C19" s="22">
        <v>4</v>
      </c>
      <c r="D19" s="22" t="s">
        <v>193</v>
      </c>
    </row>
    <row r="20" spans="1:4" ht="30" x14ac:dyDescent="0.25">
      <c r="A20" s="22" t="s">
        <v>71</v>
      </c>
      <c r="B20" s="22">
        <v>21</v>
      </c>
      <c r="C20" s="22">
        <v>4</v>
      </c>
      <c r="D20" s="22" t="s">
        <v>206</v>
      </c>
    </row>
    <row r="21" spans="1:4" ht="30" x14ac:dyDescent="0.25">
      <c r="A21" s="22" t="s">
        <v>76</v>
      </c>
      <c r="B21" s="22">
        <v>15</v>
      </c>
      <c r="C21" s="22">
        <v>4</v>
      </c>
      <c r="D21" s="22" t="s">
        <v>210</v>
      </c>
    </row>
    <row r="22" spans="1:4" ht="30" x14ac:dyDescent="0.25">
      <c r="A22" s="22" t="s">
        <v>259</v>
      </c>
      <c r="B22" s="22">
        <v>21</v>
      </c>
      <c r="C22" s="22">
        <v>5</v>
      </c>
      <c r="D22" s="22" t="s">
        <v>342</v>
      </c>
    </row>
    <row r="23" spans="1:4" ht="30" x14ac:dyDescent="0.25">
      <c r="A23" s="22" t="s">
        <v>265</v>
      </c>
      <c r="B23" s="22">
        <v>21</v>
      </c>
      <c r="C23" s="22">
        <v>5</v>
      </c>
      <c r="D23" s="22" t="s">
        <v>342</v>
      </c>
    </row>
    <row r="24" spans="1:4" x14ac:dyDescent="0.25">
      <c r="A24" s="22" t="s">
        <v>283</v>
      </c>
      <c r="B24" s="22">
        <v>1</v>
      </c>
      <c r="C24" s="22">
        <v>1</v>
      </c>
      <c r="D24" s="22" t="s">
        <v>286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3"/>
  <sheetViews>
    <sheetView workbookViewId="0"/>
  </sheetViews>
  <sheetFormatPr defaultRowHeight="15" x14ac:dyDescent="0.25"/>
  <cols>
    <col min="1" max="1" width="18" customWidth="1"/>
    <col min="2" max="2" width="10" customWidth="1"/>
    <col min="3" max="3" width="34" customWidth="1"/>
    <col min="4" max="4" width="28" customWidth="1"/>
    <col min="5" max="5" width="14" customWidth="1"/>
  </cols>
  <sheetData>
    <row r="1" spans="1:5" ht="24" customHeight="1" x14ac:dyDescent="0.25">
      <c r="A1" s="27" t="s">
        <v>343</v>
      </c>
      <c r="B1" s="27"/>
      <c r="C1" s="27"/>
      <c r="D1" s="27"/>
      <c r="E1" s="27"/>
    </row>
    <row r="3" spans="1:5" ht="32.1" customHeight="1" x14ac:dyDescent="0.25">
      <c r="A3" s="21" t="s">
        <v>344</v>
      </c>
      <c r="B3" s="21" t="s">
        <v>345</v>
      </c>
      <c r="C3" s="21" t="s">
        <v>346</v>
      </c>
      <c r="D3" s="21" t="s">
        <v>347</v>
      </c>
      <c r="E3" s="21" t="s">
        <v>348</v>
      </c>
    </row>
    <row r="4" spans="1:5" x14ac:dyDescent="0.25">
      <c r="A4" s="22" t="s">
        <v>349</v>
      </c>
      <c r="B4" s="22" t="s">
        <v>350</v>
      </c>
      <c r="C4" s="22" t="s">
        <v>351</v>
      </c>
      <c r="D4" s="22" t="s">
        <v>181</v>
      </c>
      <c r="E4" s="22">
        <v>88176</v>
      </c>
    </row>
    <row r="5" spans="1:5" x14ac:dyDescent="0.25">
      <c r="A5" s="22" t="s">
        <v>352</v>
      </c>
      <c r="B5" s="22" t="s">
        <v>350</v>
      </c>
      <c r="C5" s="22" t="s">
        <v>353</v>
      </c>
      <c r="D5" s="22"/>
      <c r="E5" s="22">
        <v>9791</v>
      </c>
    </row>
    <row r="6" spans="1:5" x14ac:dyDescent="0.25">
      <c r="A6" s="22" t="s">
        <v>354</v>
      </c>
      <c r="B6" s="22" t="s">
        <v>350</v>
      </c>
      <c r="C6" s="22" t="s">
        <v>355</v>
      </c>
      <c r="D6" s="22" t="s">
        <v>356</v>
      </c>
      <c r="E6" s="22">
        <v>88643</v>
      </c>
    </row>
    <row r="7" spans="1:5" x14ac:dyDescent="0.25">
      <c r="A7" s="22" t="s">
        <v>357</v>
      </c>
      <c r="B7" s="22" t="s">
        <v>350</v>
      </c>
      <c r="C7" s="22" t="s">
        <v>358</v>
      </c>
      <c r="D7" s="22"/>
      <c r="E7" s="22">
        <v>9792</v>
      </c>
    </row>
    <row r="8" spans="1:5" x14ac:dyDescent="0.25">
      <c r="A8" s="22" t="s">
        <v>359</v>
      </c>
      <c r="B8" s="22" t="s">
        <v>350</v>
      </c>
      <c r="C8" s="22" t="s">
        <v>360</v>
      </c>
      <c r="D8" s="22" t="s">
        <v>361</v>
      </c>
      <c r="E8" s="22">
        <v>85704</v>
      </c>
    </row>
    <row r="9" spans="1:5" x14ac:dyDescent="0.25">
      <c r="A9" s="22" t="s">
        <v>362</v>
      </c>
      <c r="B9" s="22" t="s">
        <v>350</v>
      </c>
      <c r="C9" s="22" t="s">
        <v>363</v>
      </c>
      <c r="D9" s="22"/>
      <c r="E9" s="22">
        <v>9812</v>
      </c>
    </row>
    <row r="10" spans="1:5" x14ac:dyDescent="0.25">
      <c r="A10" s="22" t="s">
        <v>364</v>
      </c>
      <c r="B10" s="22" t="s">
        <v>350</v>
      </c>
      <c r="C10" s="22" t="s">
        <v>365</v>
      </c>
      <c r="D10" s="22" t="s">
        <v>366</v>
      </c>
      <c r="E10" s="22">
        <v>86161</v>
      </c>
    </row>
    <row r="11" spans="1:5" x14ac:dyDescent="0.25">
      <c r="A11" s="22" t="s">
        <v>367</v>
      </c>
      <c r="B11" s="22" t="s">
        <v>350</v>
      </c>
      <c r="C11" s="22" t="s">
        <v>368</v>
      </c>
      <c r="D11" s="22"/>
      <c r="E11" s="22">
        <v>9804</v>
      </c>
    </row>
    <row r="12" spans="1:5" x14ac:dyDescent="0.25">
      <c r="A12" s="22" t="s">
        <v>369</v>
      </c>
      <c r="B12" s="22" t="s">
        <v>350</v>
      </c>
      <c r="C12" s="22" t="s">
        <v>370</v>
      </c>
      <c r="D12" s="22" t="s">
        <v>371</v>
      </c>
      <c r="E12" s="22">
        <v>49978</v>
      </c>
    </row>
    <row r="13" spans="1:5" x14ac:dyDescent="0.25">
      <c r="A13" s="22" t="s">
        <v>372</v>
      </c>
      <c r="B13" s="22" t="s">
        <v>350</v>
      </c>
      <c r="C13" s="22" t="s">
        <v>373</v>
      </c>
      <c r="D13" s="22"/>
      <c r="E13" s="22">
        <v>5812</v>
      </c>
    </row>
    <row r="14" spans="1:5" x14ac:dyDescent="0.25">
      <c r="A14" s="22" t="s">
        <v>374</v>
      </c>
      <c r="B14" s="22" t="s">
        <v>350</v>
      </c>
      <c r="C14" s="22" t="s">
        <v>375</v>
      </c>
      <c r="D14" s="22" t="s">
        <v>376</v>
      </c>
      <c r="E14" s="22">
        <v>50238</v>
      </c>
    </row>
    <row r="15" spans="1:5" x14ac:dyDescent="0.25">
      <c r="A15" s="22" t="s">
        <v>377</v>
      </c>
      <c r="B15" s="22" t="s">
        <v>350</v>
      </c>
      <c r="C15" s="22" t="s">
        <v>378</v>
      </c>
      <c r="D15" s="22"/>
      <c r="E15" s="22">
        <v>5812</v>
      </c>
    </row>
    <row r="16" spans="1:5" x14ac:dyDescent="0.25">
      <c r="A16" s="22" t="s">
        <v>379</v>
      </c>
      <c r="B16" s="22" t="s">
        <v>350</v>
      </c>
      <c r="C16" s="22" t="s">
        <v>380</v>
      </c>
      <c r="D16" s="22" t="s">
        <v>381</v>
      </c>
      <c r="E16" s="22">
        <v>51511</v>
      </c>
    </row>
    <row r="17" spans="1:5" x14ac:dyDescent="0.25">
      <c r="A17" s="22" t="s">
        <v>382</v>
      </c>
      <c r="B17" s="22" t="s">
        <v>350</v>
      </c>
      <c r="C17" s="22" t="s">
        <v>383</v>
      </c>
      <c r="D17" s="22"/>
      <c r="E17" s="22">
        <v>5792</v>
      </c>
    </row>
    <row r="18" spans="1:5" x14ac:dyDescent="0.25">
      <c r="A18" s="22" t="s">
        <v>384</v>
      </c>
      <c r="B18" s="22" t="s">
        <v>350</v>
      </c>
      <c r="C18" s="22" t="s">
        <v>385</v>
      </c>
      <c r="D18" s="22" t="s">
        <v>386</v>
      </c>
      <c r="E18" s="22">
        <v>51777</v>
      </c>
    </row>
    <row r="19" spans="1:5" x14ac:dyDescent="0.25">
      <c r="A19" s="22" t="s">
        <v>387</v>
      </c>
      <c r="B19" s="22" t="s">
        <v>350</v>
      </c>
      <c r="C19" s="22" t="s">
        <v>388</v>
      </c>
      <c r="D19" s="22"/>
      <c r="E19" s="22">
        <v>5800</v>
      </c>
    </row>
    <row r="20" spans="1:5" x14ac:dyDescent="0.25">
      <c r="A20" s="22" t="s">
        <v>389</v>
      </c>
      <c r="B20" s="22" t="s">
        <v>350</v>
      </c>
      <c r="C20" s="22" t="s">
        <v>390</v>
      </c>
      <c r="D20" s="22" t="s">
        <v>391</v>
      </c>
      <c r="E20" s="22">
        <v>168389</v>
      </c>
    </row>
    <row r="21" spans="1:5" x14ac:dyDescent="0.25">
      <c r="A21" s="22" t="s">
        <v>392</v>
      </c>
      <c r="B21" s="22" t="s">
        <v>350</v>
      </c>
      <c r="C21" s="22" t="s">
        <v>393</v>
      </c>
      <c r="D21" s="22"/>
      <c r="E21" s="22">
        <v>17812</v>
      </c>
    </row>
    <row r="22" spans="1:5" x14ac:dyDescent="0.25">
      <c r="A22" s="22" t="s">
        <v>394</v>
      </c>
      <c r="B22" s="22" t="s">
        <v>350</v>
      </c>
      <c r="C22" s="22" t="s">
        <v>395</v>
      </c>
      <c r="D22" s="22" t="s">
        <v>396</v>
      </c>
      <c r="E22" s="22">
        <v>169128</v>
      </c>
    </row>
    <row r="23" spans="1:5" x14ac:dyDescent="0.25">
      <c r="A23" s="22" t="s">
        <v>397</v>
      </c>
      <c r="B23" s="22" t="s">
        <v>350</v>
      </c>
      <c r="C23" s="22" t="s">
        <v>398</v>
      </c>
      <c r="D23" s="22"/>
      <c r="E23" s="22">
        <v>17804</v>
      </c>
    </row>
    <row r="24" spans="1:5" x14ac:dyDescent="0.25">
      <c r="A24" s="22" t="s">
        <v>399</v>
      </c>
      <c r="B24" s="22" t="s">
        <v>350</v>
      </c>
      <c r="C24" s="22" t="s">
        <v>400</v>
      </c>
      <c r="D24" s="22" t="s">
        <v>401</v>
      </c>
      <c r="E24" s="22">
        <v>21572</v>
      </c>
    </row>
    <row r="25" spans="1:5" x14ac:dyDescent="0.25">
      <c r="A25" s="22" t="s">
        <v>402</v>
      </c>
      <c r="B25" s="22" t="s">
        <v>350</v>
      </c>
      <c r="C25" s="22" t="s">
        <v>403</v>
      </c>
      <c r="D25" s="22"/>
      <c r="E25" s="22">
        <v>2591</v>
      </c>
    </row>
    <row r="26" spans="1:5" x14ac:dyDescent="0.25">
      <c r="A26" s="22" t="s">
        <v>404</v>
      </c>
      <c r="B26" s="22" t="s">
        <v>350</v>
      </c>
      <c r="C26" s="22" t="s">
        <v>405</v>
      </c>
      <c r="D26" s="22" t="s">
        <v>406</v>
      </c>
      <c r="E26" s="22">
        <v>21572</v>
      </c>
    </row>
    <row r="27" spans="1:5" x14ac:dyDescent="0.25">
      <c r="A27" s="22" t="s">
        <v>407</v>
      </c>
      <c r="B27" s="22" t="s">
        <v>350</v>
      </c>
      <c r="C27" s="22" t="s">
        <v>408</v>
      </c>
      <c r="D27" s="22"/>
      <c r="E27" s="22">
        <v>2591</v>
      </c>
    </row>
    <row r="28" spans="1:5" x14ac:dyDescent="0.25">
      <c r="A28" s="22" t="s">
        <v>300</v>
      </c>
      <c r="B28" s="22" t="s">
        <v>350</v>
      </c>
      <c r="C28" s="22" t="s">
        <v>409</v>
      </c>
      <c r="D28" s="22" t="s">
        <v>410</v>
      </c>
      <c r="E28" s="22">
        <v>21572</v>
      </c>
    </row>
    <row r="29" spans="1:5" x14ac:dyDescent="0.25">
      <c r="A29" s="22" t="s">
        <v>411</v>
      </c>
      <c r="B29" s="22" t="s">
        <v>350</v>
      </c>
      <c r="C29" s="22" t="s">
        <v>412</v>
      </c>
      <c r="D29" s="22"/>
      <c r="E29" s="22">
        <v>2599</v>
      </c>
    </row>
    <row r="30" spans="1:5" x14ac:dyDescent="0.25">
      <c r="A30" s="22" t="s">
        <v>413</v>
      </c>
      <c r="B30" s="22" t="s">
        <v>350</v>
      </c>
      <c r="C30" s="22" t="s">
        <v>414</v>
      </c>
      <c r="D30" s="22" t="s">
        <v>415</v>
      </c>
      <c r="E30" s="22">
        <v>21530</v>
      </c>
    </row>
    <row r="31" spans="1:5" x14ac:dyDescent="0.25">
      <c r="A31" s="22" t="s">
        <v>416</v>
      </c>
      <c r="B31" s="22" t="s">
        <v>350</v>
      </c>
      <c r="C31" s="22" t="s">
        <v>417</v>
      </c>
      <c r="D31" s="22"/>
      <c r="E31" s="22">
        <v>2599</v>
      </c>
    </row>
    <row r="32" spans="1:5" x14ac:dyDescent="0.25">
      <c r="A32" s="22" t="s">
        <v>418</v>
      </c>
      <c r="B32" s="22" t="s">
        <v>350</v>
      </c>
      <c r="C32" s="22" t="s">
        <v>419</v>
      </c>
      <c r="D32" s="22" t="s">
        <v>420</v>
      </c>
      <c r="E32" s="22">
        <v>249304</v>
      </c>
    </row>
    <row r="33" spans="1:5" x14ac:dyDescent="0.25">
      <c r="A33" s="22" t="s">
        <v>421</v>
      </c>
      <c r="B33" s="22" t="s">
        <v>350</v>
      </c>
      <c r="C33" s="22" t="s">
        <v>422</v>
      </c>
      <c r="D33" s="22"/>
      <c r="E33" s="22">
        <v>2599</v>
      </c>
    </row>
    <row r="34" spans="1:5" x14ac:dyDescent="0.25">
      <c r="A34" s="22" t="s">
        <v>423</v>
      </c>
      <c r="B34" s="22" t="s">
        <v>350</v>
      </c>
      <c r="C34" s="22" t="s">
        <v>424</v>
      </c>
      <c r="D34" s="22" t="s">
        <v>425</v>
      </c>
      <c r="E34" s="22">
        <v>184528</v>
      </c>
    </row>
    <row r="35" spans="1:5" x14ac:dyDescent="0.25">
      <c r="A35" s="22" t="s">
        <v>426</v>
      </c>
      <c r="B35" s="22" t="s">
        <v>350</v>
      </c>
      <c r="C35" s="22" t="s">
        <v>427</v>
      </c>
      <c r="D35" s="22"/>
      <c r="E35" s="22">
        <v>2599</v>
      </c>
    </row>
    <row r="36" spans="1:5" x14ac:dyDescent="0.25">
      <c r="A36" s="22" t="s">
        <v>428</v>
      </c>
      <c r="B36" s="22" t="s">
        <v>350</v>
      </c>
      <c r="C36" s="22" t="s">
        <v>429</v>
      </c>
      <c r="D36" s="22" t="s">
        <v>430</v>
      </c>
      <c r="E36" s="22">
        <v>81471</v>
      </c>
    </row>
    <row r="37" spans="1:5" x14ac:dyDescent="0.25">
      <c r="A37" s="22" t="s">
        <v>431</v>
      </c>
      <c r="B37" s="22" t="s">
        <v>350</v>
      </c>
      <c r="C37" s="22" t="s">
        <v>432</v>
      </c>
      <c r="D37" s="22"/>
      <c r="E37" s="22">
        <v>5377</v>
      </c>
    </row>
    <row r="38" spans="1:5" x14ac:dyDescent="0.25">
      <c r="A38" s="22" t="s">
        <v>433</v>
      </c>
      <c r="B38" s="22" t="s">
        <v>350</v>
      </c>
      <c r="C38" s="22" t="s">
        <v>434</v>
      </c>
      <c r="D38" s="22" t="s">
        <v>435</v>
      </c>
      <c r="E38" s="22">
        <v>2919574</v>
      </c>
    </row>
    <row r="39" spans="1:5" x14ac:dyDescent="0.25">
      <c r="A39" s="22" t="s">
        <v>436</v>
      </c>
      <c r="B39" s="22" t="s">
        <v>350</v>
      </c>
      <c r="C39" s="22" t="s">
        <v>437</v>
      </c>
      <c r="D39" s="22"/>
      <c r="E39" s="22">
        <v>2599</v>
      </c>
    </row>
    <row r="40" spans="1:5" x14ac:dyDescent="0.25">
      <c r="A40" s="22" t="s">
        <v>268</v>
      </c>
      <c r="B40" s="22" t="s">
        <v>350</v>
      </c>
      <c r="C40" s="22" t="s">
        <v>438</v>
      </c>
      <c r="D40" s="22"/>
      <c r="E40" s="22">
        <v>58713</v>
      </c>
    </row>
    <row r="41" spans="1:5" x14ac:dyDescent="0.25">
      <c r="A41" s="22" t="s">
        <v>439</v>
      </c>
      <c r="B41" s="22" t="s">
        <v>350</v>
      </c>
      <c r="C41" s="22" t="s">
        <v>440</v>
      </c>
      <c r="D41" s="22"/>
      <c r="E41" s="22">
        <v>2644</v>
      </c>
    </row>
    <row r="42" spans="1:5" x14ac:dyDescent="0.25">
      <c r="A42" s="22" t="s">
        <v>225</v>
      </c>
      <c r="B42" s="22" t="s">
        <v>350</v>
      </c>
      <c r="C42" s="22" t="s">
        <v>441</v>
      </c>
      <c r="D42" s="22" t="s">
        <v>442</v>
      </c>
      <c r="E42" s="22">
        <v>1194889</v>
      </c>
    </row>
    <row r="43" spans="1:5" x14ac:dyDescent="0.25">
      <c r="A43" s="22" t="s">
        <v>275</v>
      </c>
      <c r="B43" s="22" t="s">
        <v>350</v>
      </c>
      <c r="C43" s="22" t="s">
        <v>443</v>
      </c>
      <c r="D43" s="22" t="s">
        <v>444</v>
      </c>
      <c r="E43" s="22">
        <v>481146</v>
      </c>
    </row>
    <row r="44" spans="1:5" x14ac:dyDescent="0.25">
      <c r="A44" s="22" t="s">
        <v>275</v>
      </c>
      <c r="B44" s="22" t="s">
        <v>350</v>
      </c>
      <c r="C44" s="22" t="s">
        <v>445</v>
      </c>
      <c r="D44" s="22" t="s">
        <v>446</v>
      </c>
      <c r="E44" s="22">
        <v>582518</v>
      </c>
    </row>
    <row r="45" spans="1:5" x14ac:dyDescent="0.25">
      <c r="A45" s="22" t="s">
        <v>275</v>
      </c>
      <c r="B45" s="22" t="s">
        <v>350</v>
      </c>
      <c r="C45" s="22" t="s">
        <v>447</v>
      </c>
      <c r="D45" s="22"/>
      <c r="E45" s="22">
        <v>121825</v>
      </c>
    </row>
    <row r="46" spans="1:5" x14ac:dyDescent="0.25">
      <c r="A46" s="22" t="s">
        <v>448</v>
      </c>
      <c r="B46" s="22" t="s">
        <v>350</v>
      </c>
      <c r="C46" s="22" t="s">
        <v>449</v>
      </c>
      <c r="D46" s="22"/>
      <c r="E46" s="22">
        <v>17852</v>
      </c>
    </row>
    <row r="47" spans="1:5" x14ac:dyDescent="0.25">
      <c r="A47" s="22" t="s">
        <v>330</v>
      </c>
      <c r="B47" s="22" t="s">
        <v>350</v>
      </c>
      <c r="C47" s="22" t="s">
        <v>450</v>
      </c>
      <c r="D47" s="22" t="s">
        <v>451</v>
      </c>
      <c r="E47" s="22">
        <v>482766</v>
      </c>
    </row>
    <row r="48" spans="1:5" x14ac:dyDescent="0.25">
      <c r="A48" s="22" t="s">
        <v>330</v>
      </c>
      <c r="B48" s="22" t="s">
        <v>350</v>
      </c>
      <c r="C48" s="22" t="s">
        <v>452</v>
      </c>
      <c r="D48" s="22" t="s">
        <v>453</v>
      </c>
      <c r="E48" s="22">
        <v>584591</v>
      </c>
    </row>
    <row r="49" spans="1:5" x14ac:dyDescent="0.25">
      <c r="A49" s="22" t="s">
        <v>330</v>
      </c>
      <c r="B49" s="22" t="s">
        <v>350</v>
      </c>
      <c r="C49" s="22" t="s">
        <v>454</v>
      </c>
      <c r="D49" s="22"/>
      <c r="E49" s="22">
        <v>133165</v>
      </c>
    </row>
    <row r="50" spans="1:5" x14ac:dyDescent="0.25">
      <c r="A50" s="22" t="s">
        <v>455</v>
      </c>
      <c r="B50" s="22" t="s">
        <v>350</v>
      </c>
      <c r="C50" s="22" t="s">
        <v>456</v>
      </c>
      <c r="D50" s="22"/>
      <c r="E50" s="22">
        <v>17852</v>
      </c>
    </row>
    <row r="51" spans="1:5" x14ac:dyDescent="0.25">
      <c r="A51" s="22" t="s">
        <v>332</v>
      </c>
      <c r="B51" s="22" t="s">
        <v>350</v>
      </c>
      <c r="C51" s="22" t="s">
        <v>457</v>
      </c>
      <c r="D51" s="22" t="s">
        <v>458</v>
      </c>
      <c r="E51" s="22">
        <v>482151</v>
      </c>
    </row>
    <row r="52" spans="1:5" x14ac:dyDescent="0.25">
      <c r="A52" s="22" t="s">
        <v>332</v>
      </c>
      <c r="B52" s="22" t="s">
        <v>350</v>
      </c>
      <c r="C52" s="22" t="s">
        <v>459</v>
      </c>
      <c r="D52" s="22" t="s">
        <v>460</v>
      </c>
      <c r="E52" s="22">
        <v>588480</v>
      </c>
    </row>
    <row r="53" spans="1:5" x14ac:dyDescent="0.25">
      <c r="A53" s="22" t="s">
        <v>332</v>
      </c>
      <c r="B53" s="22" t="s">
        <v>350</v>
      </c>
      <c r="C53" s="22" t="s">
        <v>461</v>
      </c>
      <c r="D53" s="22"/>
      <c r="E53" s="22">
        <v>127697</v>
      </c>
    </row>
    <row r="54" spans="1:5" x14ac:dyDescent="0.25">
      <c r="A54" s="22" t="s">
        <v>462</v>
      </c>
      <c r="B54" s="22" t="s">
        <v>350</v>
      </c>
      <c r="C54" s="22" t="s">
        <v>463</v>
      </c>
      <c r="D54" s="22"/>
      <c r="E54" s="22">
        <v>17852</v>
      </c>
    </row>
    <row r="55" spans="1:5" x14ac:dyDescent="0.25">
      <c r="A55" s="22" t="s">
        <v>279</v>
      </c>
      <c r="B55" s="22" t="s">
        <v>350</v>
      </c>
      <c r="C55" s="22" t="s">
        <v>464</v>
      </c>
      <c r="D55" s="22" t="s">
        <v>465</v>
      </c>
      <c r="E55" s="22">
        <v>481827</v>
      </c>
    </row>
    <row r="56" spans="1:5" x14ac:dyDescent="0.25">
      <c r="A56" s="22" t="s">
        <v>279</v>
      </c>
      <c r="B56" s="22" t="s">
        <v>350</v>
      </c>
      <c r="C56" s="22" t="s">
        <v>466</v>
      </c>
      <c r="D56" s="22" t="s">
        <v>467</v>
      </c>
      <c r="E56" s="22">
        <v>588792</v>
      </c>
    </row>
    <row r="57" spans="1:5" x14ac:dyDescent="0.25">
      <c r="A57" s="22" t="s">
        <v>279</v>
      </c>
      <c r="B57" s="22" t="s">
        <v>350</v>
      </c>
      <c r="C57" s="22" t="s">
        <v>468</v>
      </c>
      <c r="D57" s="22"/>
      <c r="E57" s="22">
        <v>127697</v>
      </c>
    </row>
    <row r="58" spans="1:5" x14ac:dyDescent="0.25">
      <c r="A58" s="22" t="s">
        <v>469</v>
      </c>
      <c r="B58" s="22" t="s">
        <v>350</v>
      </c>
      <c r="C58" s="22" t="s">
        <v>470</v>
      </c>
      <c r="D58" s="22"/>
      <c r="E58" s="22">
        <v>17852</v>
      </c>
    </row>
    <row r="59" spans="1:5" x14ac:dyDescent="0.25">
      <c r="A59" s="22" t="s">
        <v>471</v>
      </c>
      <c r="B59" s="22" t="s">
        <v>350</v>
      </c>
      <c r="C59" s="22" t="s">
        <v>472</v>
      </c>
      <c r="D59" s="22"/>
      <c r="E59" s="22">
        <v>161183</v>
      </c>
    </row>
    <row r="60" spans="1:5" x14ac:dyDescent="0.25">
      <c r="A60" s="22" t="s">
        <v>471</v>
      </c>
      <c r="B60" s="22" t="s">
        <v>350</v>
      </c>
      <c r="C60" s="22" t="s">
        <v>473</v>
      </c>
      <c r="D60" s="22"/>
      <c r="E60" s="22">
        <v>161183</v>
      </c>
    </row>
    <row r="61" spans="1:5" x14ac:dyDescent="0.25">
      <c r="A61" s="22" t="s">
        <v>471</v>
      </c>
      <c r="B61" s="22" t="s">
        <v>350</v>
      </c>
      <c r="C61" s="22" t="s">
        <v>474</v>
      </c>
      <c r="D61" s="22"/>
      <c r="E61" s="22">
        <v>102724</v>
      </c>
    </row>
    <row r="62" spans="1:5" x14ac:dyDescent="0.25">
      <c r="A62" s="22" t="s">
        <v>471</v>
      </c>
      <c r="B62" s="22" t="s">
        <v>350</v>
      </c>
      <c r="C62" s="22" t="s">
        <v>475</v>
      </c>
      <c r="D62" s="22"/>
      <c r="E62" s="22">
        <v>102724</v>
      </c>
    </row>
    <row r="63" spans="1:5" x14ac:dyDescent="0.25">
      <c r="A63" s="22" t="s">
        <v>471</v>
      </c>
      <c r="B63" s="22" t="s">
        <v>350</v>
      </c>
      <c r="C63" s="22" t="s">
        <v>476</v>
      </c>
      <c r="D63" s="22"/>
      <c r="E63" s="22">
        <v>80611</v>
      </c>
    </row>
    <row r="64" spans="1:5" x14ac:dyDescent="0.25">
      <c r="A64" s="22" t="s">
        <v>477</v>
      </c>
      <c r="B64" s="22" t="s">
        <v>350</v>
      </c>
      <c r="C64" s="22" t="s">
        <v>478</v>
      </c>
      <c r="D64" s="22"/>
      <c r="E64" s="22">
        <v>89379</v>
      </c>
    </row>
    <row r="65" spans="1:5" x14ac:dyDescent="0.25">
      <c r="A65" s="22" t="s">
        <v>479</v>
      </c>
      <c r="B65" s="22" t="s">
        <v>350</v>
      </c>
      <c r="C65" s="22" t="s">
        <v>480</v>
      </c>
      <c r="D65" s="22"/>
      <c r="E65" s="22">
        <v>9037</v>
      </c>
    </row>
    <row r="66" spans="1:5" x14ac:dyDescent="0.25">
      <c r="A66" s="22" t="s">
        <v>481</v>
      </c>
      <c r="B66" s="22" t="s">
        <v>350</v>
      </c>
      <c r="C66" s="22" t="s">
        <v>482</v>
      </c>
      <c r="D66" s="22"/>
      <c r="E66" s="22">
        <v>89379</v>
      </c>
    </row>
    <row r="67" spans="1:5" x14ac:dyDescent="0.25">
      <c r="A67" s="22" t="s">
        <v>483</v>
      </c>
      <c r="B67" s="22" t="s">
        <v>350</v>
      </c>
      <c r="C67" s="22" t="s">
        <v>484</v>
      </c>
      <c r="D67" s="22"/>
      <c r="E67" s="22">
        <v>682077</v>
      </c>
    </row>
    <row r="68" spans="1:5" x14ac:dyDescent="0.25">
      <c r="A68" s="22" t="s">
        <v>485</v>
      </c>
      <c r="B68" s="22" t="s">
        <v>350</v>
      </c>
      <c r="C68" s="22" t="s">
        <v>486</v>
      </c>
      <c r="D68" s="22"/>
      <c r="E68" s="22">
        <v>488384</v>
      </c>
    </row>
    <row r="69" spans="1:5" x14ac:dyDescent="0.25">
      <c r="A69" s="22" t="s">
        <v>487</v>
      </c>
      <c r="B69" s="22" t="s">
        <v>350</v>
      </c>
      <c r="C69" s="22" t="s">
        <v>488</v>
      </c>
      <c r="D69" s="22"/>
      <c r="E69" s="22">
        <v>8993</v>
      </c>
    </row>
    <row r="70" spans="1:5" x14ac:dyDescent="0.25">
      <c r="A70" s="22" t="s">
        <v>489</v>
      </c>
      <c r="B70" s="22" t="s">
        <v>350</v>
      </c>
      <c r="C70" s="22" t="s">
        <v>490</v>
      </c>
      <c r="D70" s="22"/>
      <c r="E70" s="22">
        <v>102724</v>
      </c>
    </row>
    <row r="71" spans="1:5" x14ac:dyDescent="0.25">
      <c r="A71" s="22" t="s">
        <v>489</v>
      </c>
      <c r="B71" s="22" t="s">
        <v>350</v>
      </c>
      <c r="C71" s="22" t="s">
        <v>491</v>
      </c>
      <c r="D71" s="22"/>
      <c r="E71" s="22">
        <v>102724</v>
      </c>
    </row>
    <row r="72" spans="1:5" x14ac:dyDescent="0.25">
      <c r="A72" s="22" t="s">
        <v>489</v>
      </c>
      <c r="B72" s="22" t="s">
        <v>350</v>
      </c>
      <c r="C72" s="22" t="s">
        <v>492</v>
      </c>
      <c r="D72" s="22"/>
      <c r="E72" s="22">
        <v>80611</v>
      </c>
    </row>
    <row r="73" spans="1:5" x14ac:dyDescent="0.25">
      <c r="A73" s="22" t="s">
        <v>493</v>
      </c>
      <c r="B73" s="22" t="s">
        <v>350</v>
      </c>
      <c r="C73" s="22" t="s">
        <v>494</v>
      </c>
      <c r="D73" s="22"/>
      <c r="E73" s="22">
        <v>89379</v>
      </c>
    </row>
    <row r="74" spans="1:5" x14ac:dyDescent="0.25">
      <c r="A74" s="22" t="s">
        <v>495</v>
      </c>
      <c r="B74" s="22" t="s">
        <v>350</v>
      </c>
      <c r="C74" s="22" t="s">
        <v>496</v>
      </c>
      <c r="D74" s="22"/>
      <c r="E74" s="22">
        <v>9037</v>
      </c>
    </row>
    <row r="75" spans="1:5" x14ac:dyDescent="0.25">
      <c r="A75" s="22" t="s">
        <v>497</v>
      </c>
      <c r="B75" s="22" t="s">
        <v>350</v>
      </c>
      <c r="C75" s="22" t="s">
        <v>498</v>
      </c>
      <c r="D75" s="22"/>
      <c r="E75" s="22">
        <v>89379</v>
      </c>
    </row>
    <row r="76" spans="1:5" x14ac:dyDescent="0.25">
      <c r="A76" s="22" t="s">
        <v>499</v>
      </c>
      <c r="B76" s="22" t="s">
        <v>350</v>
      </c>
      <c r="C76" s="22" t="s">
        <v>500</v>
      </c>
      <c r="D76" s="22"/>
      <c r="E76" s="22">
        <v>682075</v>
      </c>
    </row>
    <row r="77" spans="1:5" x14ac:dyDescent="0.25">
      <c r="A77" s="22" t="s">
        <v>501</v>
      </c>
      <c r="B77" s="22" t="s">
        <v>350</v>
      </c>
      <c r="C77" s="22" t="s">
        <v>502</v>
      </c>
      <c r="D77" s="22"/>
      <c r="E77" s="22">
        <v>488384</v>
      </c>
    </row>
    <row r="78" spans="1:5" x14ac:dyDescent="0.25">
      <c r="A78" s="22" t="s">
        <v>503</v>
      </c>
      <c r="B78" s="22" t="s">
        <v>350</v>
      </c>
      <c r="C78" s="22" t="s">
        <v>504</v>
      </c>
      <c r="D78" s="22"/>
      <c r="E78" s="22">
        <v>9037</v>
      </c>
    </row>
    <row r="79" spans="1:5" x14ac:dyDescent="0.25">
      <c r="A79" s="22" t="s">
        <v>505</v>
      </c>
      <c r="B79" s="22" t="s">
        <v>350</v>
      </c>
      <c r="C79" s="22" t="s">
        <v>506</v>
      </c>
      <c r="D79" s="22"/>
      <c r="E79" s="22">
        <v>9688</v>
      </c>
    </row>
    <row r="80" spans="1:5" x14ac:dyDescent="0.25">
      <c r="A80" s="22" t="s">
        <v>507</v>
      </c>
      <c r="B80" s="22" t="s">
        <v>350</v>
      </c>
      <c r="C80" s="22" t="s">
        <v>508</v>
      </c>
      <c r="D80" s="22"/>
      <c r="E80" s="22">
        <v>2600</v>
      </c>
    </row>
    <row r="81" spans="1:5" x14ac:dyDescent="0.25">
      <c r="A81" s="22" t="s">
        <v>509</v>
      </c>
      <c r="B81" s="22" t="s">
        <v>350</v>
      </c>
      <c r="C81" s="22" t="s">
        <v>510</v>
      </c>
      <c r="D81" s="22"/>
      <c r="E81" s="22">
        <v>21824</v>
      </c>
    </row>
    <row r="82" spans="1:5" x14ac:dyDescent="0.25">
      <c r="A82" s="22" t="s">
        <v>511</v>
      </c>
      <c r="B82" s="22" t="s">
        <v>350</v>
      </c>
      <c r="C82" s="22" t="s">
        <v>512</v>
      </c>
      <c r="D82" s="22"/>
      <c r="E82" s="22">
        <v>5464</v>
      </c>
    </row>
    <row r="83" spans="1:5" x14ac:dyDescent="0.25">
      <c r="A83" s="22" t="s">
        <v>513</v>
      </c>
      <c r="B83" s="22" t="s">
        <v>350</v>
      </c>
      <c r="C83" s="22" t="s">
        <v>514</v>
      </c>
      <c r="D83" s="22"/>
      <c r="E83" s="22">
        <v>21824</v>
      </c>
    </row>
    <row r="84" spans="1:5" x14ac:dyDescent="0.25">
      <c r="A84" s="22" t="s">
        <v>515</v>
      </c>
      <c r="B84" s="22" t="s">
        <v>350</v>
      </c>
      <c r="C84" s="22" t="s">
        <v>516</v>
      </c>
      <c r="D84" s="22"/>
      <c r="E84" s="22">
        <v>5464</v>
      </c>
    </row>
    <row r="85" spans="1:5" x14ac:dyDescent="0.25">
      <c r="A85" s="22" t="s">
        <v>517</v>
      </c>
      <c r="B85" s="22" t="s">
        <v>350</v>
      </c>
      <c r="C85" s="22" t="s">
        <v>518</v>
      </c>
      <c r="D85" s="22"/>
      <c r="E85" s="22">
        <v>27721</v>
      </c>
    </row>
    <row r="86" spans="1:5" x14ac:dyDescent="0.25">
      <c r="A86" s="22" t="s">
        <v>519</v>
      </c>
      <c r="B86" s="22" t="s">
        <v>350</v>
      </c>
      <c r="C86" s="22" t="s">
        <v>520</v>
      </c>
      <c r="D86" s="22"/>
      <c r="E86" s="22">
        <v>2600</v>
      </c>
    </row>
    <row r="87" spans="1:5" x14ac:dyDescent="0.25">
      <c r="A87" s="22" t="s">
        <v>521</v>
      </c>
      <c r="B87" s="22" t="s">
        <v>350</v>
      </c>
      <c r="C87" s="22" t="s">
        <v>522</v>
      </c>
      <c r="D87" s="22"/>
      <c r="E87" s="22">
        <v>1992325</v>
      </c>
    </row>
    <row r="88" spans="1:5" x14ac:dyDescent="0.25">
      <c r="A88" s="22" t="s">
        <v>523</v>
      </c>
      <c r="B88" s="22" t="s">
        <v>350</v>
      </c>
      <c r="C88" s="22" t="s">
        <v>524</v>
      </c>
      <c r="D88" s="22"/>
      <c r="E88" s="22">
        <v>1992325</v>
      </c>
    </row>
    <row r="89" spans="1:5" x14ac:dyDescent="0.25">
      <c r="A89" s="22" t="s">
        <v>525</v>
      </c>
      <c r="B89" s="22" t="s">
        <v>350</v>
      </c>
      <c r="C89" s="22" t="s">
        <v>526</v>
      </c>
      <c r="D89" s="22"/>
      <c r="E89" s="22">
        <v>165805</v>
      </c>
    </row>
    <row r="90" spans="1:5" x14ac:dyDescent="0.25">
      <c r="A90" s="22" t="s">
        <v>527</v>
      </c>
      <c r="B90" s="22" t="s">
        <v>350</v>
      </c>
      <c r="C90" s="22" t="s">
        <v>528</v>
      </c>
      <c r="D90" s="22"/>
      <c r="E90" s="22">
        <v>2600</v>
      </c>
    </row>
    <row r="91" spans="1:5" x14ac:dyDescent="0.25">
      <c r="A91" s="22" t="s">
        <v>529</v>
      </c>
      <c r="B91" s="22" t="s">
        <v>350</v>
      </c>
      <c r="C91" s="22" t="s">
        <v>530</v>
      </c>
      <c r="D91" s="22"/>
      <c r="E91" s="22">
        <v>345072</v>
      </c>
    </row>
    <row r="92" spans="1:5" x14ac:dyDescent="0.25">
      <c r="A92" s="22" t="s">
        <v>531</v>
      </c>
      <c r="B92" s="22" t="s">
        <v>350</v>
      </c>
      <c r="C92" s="22" t="s">
        <v>532</v>
      </c>
      <c r="D92" s="22"/>
      <c r="E92" s="22">
        <v>325980</v>
      </c>
    </row>
    <row r="93" spans="1:5" x14ac:dyDescent="0.25">
      <c r="A93" s="22" t="s">
        <v>533</v>
      </c>
      <c r="B93" s="22" t="s">
        <v>350</v>
      </c>
      <c r="C93" s="22" t="s">
        <v>534</v>
      </c>
      <c r="D93" s="22"/>
      <c r="E93" s="22">
        <v>1415870</v>
      </c>
    </row>
    <row r="94" spans="1:5" x14ac:dyDescent="0.25">
      <c r="A94" s="22" t="s">
        <v>535</v>
      </c>
      <c r="B94" s="22" t="s">
        <v>350</v>
      </c>
      <c r="C94" s="22" t="s">
        <v>536</v>
      </c>
      <c r="D94" s="22"/>
      <c r="E94" s="22">
        <v>1415870</v>
      </c>
    </row>
    <row r="95" spans="1:5" x14ac:dyDescent="0.25">
      <c r="A95" s="22" t="s">
        <v>537</v>
      </c>
      <c r="B95" s="22" t="s">
        <v>350</v>
      </c>
      <c r="C95" s="22" t="s">
        <v>538</v>
      </c>
      <c r="D95" s="22"/>
      <c r="E95" s="22">
        <v>1415870</v>
      </c>
    </row>
    <row r="96" spans="1:5" x14ac:dyDescent="0.25">
      <c r="A96" s="22" t="s">
        <v>539</v>
      </c>
      <c r="B96" s="22" t="s">
        <v>350</v>
      </c>
      <c r="C96" s="22" t="s">
        <v>540</v>
      </c>
      <c r="D96" s="22"/>
      <c r="E96" s="22">
        <v>1415870</v>
      </c>
    </row>
    <row r="97" spans="1:5" x14ac:dyDescent="0.25">
      <c r="A97" s="22" t="s">
        <v>541</v>
      </c>
      <c r="B97" s="22" t="s">
        <v>350</v>
      </c>
      <c r="C97" s="22" t="s">
        <v>542</v>
      </c>
      <c r="D97" s="22"/>
      <c r="E97" s="22">
        <v>750179</v>
      </c>
    </row>
    <row r="98" spans="1:5" x14ac:dyDescent="0.25">
      <c r="A98" s="22" t="s">
        <v>543</v>
      </c>
      <c r="B98" s="22" t="s">
        <v>350</v>
      </c>
      <c r="C98" s="22" t="s">
        <v>544</v>
      </c>
      <c r="D98" s="22"/>
      <c r="E98" s="22">
        <v>731349</v>
      </c>
    </row>
    <row r="99" spans="1:5" x14ac:dyDescent="0.25">
      <c r="A99" s="22" t="s">
        <v>545</v>
      </c>
      <c r="B99" s="22" t="s">
        <v>350</v>
      </c>
      <c r="C99" s="22" t="s">
        <v>546</v>
      </c>
      <c r="D99" s="22" t="s">
        <v>547</v>
      </c>
      <c r="E99" s="22">
        <v>48934</v>
      </c>
    </row>
    <row r="100" spans="1:5" x14ac:dyDescent="0.25">
      <c r="A100" s="22" t="s">
        <v>548</v>
      </c>
      <c r="B100" s="22" t="s">
        <v>350</v>
      </c>
      <c r="C100" s="22" t="s">
        <v>549</v>
      </c>
      <c r="D100" s="22"/>
      <c r="E100" s="22">
        <v>2600</v>
      </c>
    </row>
    <row r="101" spans="1:5" x14ac:dyDescent="0.25">
      <c r="A101" s="22" t="s">
        <v>30</v>
      </c>
      <c r="B101" s="22" t="s">
        <v>350</v>
      </c>
      <c r="C101" s="22" t="s">
        <v>550</v>
      </c>
      <c r="D101" s="22" t="s">
        <v>158</v>
      </c>
      <c r="E101" s="22">
        <v>560449</v>
      </c>
    </row>
    <row r="102" spans="1:5" x14ac:dyDescent="0.25">
      <c r="A102" s="22" t="s">
        <v>551</v>
      </c>
      <c r="B102" s="22" t="s">
        <v>350</v>
      </c>
      <c r="C102" s="22" t="s">
        <v>552</v>
      </c>
      <c r="D102" s="22"/>
      <c r="E102" s="22">
        <v>2600</v>
      </c>
    </row>
    <row r="103" spans="1:5" x14ac:dyDescent="0.25">
      <c r="A103" s="22" t="s">
        <v>26</v>
      </c>
      <c r="B103" s="22" t="s">
        <v>350</v>
      </c>
      <c r="C103" s="22" t="s">
        <v>553</v>
      </c>
      <c r="D103" s="22" t="s">
        <v>554</v>
      </c>
      <c r="E103" s="22">
        <v>59482</v>
      </c>
    </row>
    <row r="104" spans="1:5" x14ac:dyDescent="0.25">
      <c r="A104" s="22" t="s">
        <v>555</v>
      </c>
      <c r="B104" s="22" t="s">
        <v>350</v>
      </c>
      <c r="C104" s="22" t="s">
        <v>556</v>
      </c>
      <c r="D104" s="22"/>
      <c r="E104" s="22">
        <v>2600</v>
      </c>
    </row>
    <row r="105" spans="1:5" x14ac:dyDescent="0.25">
      <c r="A105" s="22" t="s">
        <v>38</v>
      </c>
      <c r="B105" s="22" t="s">
        <v>350</v>
      </c>
      <c r="C105" s="22" t="s">
        <v>557</v>
      </c>
      <c r="D105" s="22" t="s">
        <v>558</v>
      </c>
      <c r="E105" s="22">
        <v>23143</v>
      </c>
    </row>
    <row r="106" spans="1:5" x14ac:dyDescent="0.25">
      <c r="A106" s="22" t="s">
        <v>559</v>
      </c>
      <c r="B106" s="22" t="s">
        <v>350</v>
      </c>
      <c r="C106" s="22" t="s">
        <v>560</v>
      </c>
      <c r="D106" s="22"/>
      <c r="E106" s="22">
        <v>2600</v>
      </c>
    </row>
    <row r="107" spans="1:5" x14ac:dyDescent="0.25">
      <c r="A107" s="22" t="s">
        <v>561</v>
      </c>
      <c r="B107" s="22" t="s">
        <v>350</v>
      </c>
      <c r="C107" s="22" t="s">
        <v>562</v>
      </c>
      <c r="D107" s="22" t="s">
        <v>563</v>
      </c>
      <c r="E107" s="22">
        <v>93830</v>
      </c>
    </row>
    <row r="108" spans="1:5" x14ac:dyDescent="0.25">
      <c r="A108" s="22" t="s">
        <v>564</v>
      </c>
      <c r="B108" s="22" t="s">
        <v>350</v>
      </c>
      <c r="C108" s="22" t="s">
        <v>565</v>
      </c>
      <c r="D108" s="22"/>
      <c r="E108" s="22">
        <v>9792</v>
      </c>
    </row>
    <row r="109" spans="1:5" x14ac:dyDescent="0.25">
      <c r="A109" s="22" t="s">
        <v>566</v>
      </c>
      <c r="B109" s="22" t="s">
        <v>350</v>
      </c>
      <c r="C109" s="22" t="s">
        <v>567</v>
      </c>
      <c r="D109" s="22" t="s">
        <v>568</v>
      </c>
      <c r="E109" s="22">
        <v>94318</v>
      </c>
    </row>
    <row r="110" spans="1:5" x14ac:dyDescent="0.25">
      <c r="A110" s="22" t="s">
        <v>569</v>
      </c>
      <c r="B110" s="22" t="s">
        <v>350</v>
      </c>
      <c r="C110" s="22" t="s">
        <v>570</v>
      </c>
      <c r="D110" s="22"/>
      <c r="E110" s="22">
        <v>9801</v>
      </c>
    </row>
    <row r="111" spans="1:5" x14ac:dyDescent="0.25">
      <c r="A111" s="22" t="s">
        <v>571</v>
      </c>
      <c r="B111" s="22" t="s">
        <v>350</v>
      </c>
      <c r="C111" s="22" t="s">
        <v>572</v>
      </c>
      <c r="D111" s="22" t="s">
        <v>573</v>
      </c>
      <c r="E111" s="22">
        <v>48081</v>
      </c>
    </row>
    <row r="112" spans="1:5" x14ac:dyDescent="0.25">
      <c r="A112" s="22" t="s">
        <v>574</v>
      </c>
      <c r="B112" s="22" t="s">
        <v>350</v>
      </c>
      <c r="C112" s="22" t="s">
        <v>575</v>
      </c>
      <c r="D112" s="22"/>
      <c r="E112" s="22">
        <v>2600</v>
      </c>
    </row>
    <row r="113" spans="1:5" x14ac:dyDescent="0.25">
      <c r="A113" s="22" t="s">
        <v>576</v>
      </c>
      <c r="B113" s="22" t="s">
        <v>350</v>
      </c>
      <c r="C113" s="22" t="s">
        <v>577</v>
      </c>
      <c r="D113" s="22" t="s">
        <v>578</v>
      </c>
      <c r="E113" s="22">
        <v>48081</v>
      </c>
    </row>
    <row r="114" spans="1:5" x14ac:dyDescent="0.25">
      <c r="A114" s="22" t="s">
        <v>579</v>
      </c>
      <c r="B114" s="22" t="s">
        <v>350</v>
      </c>
      <c r="C114" s="22" t="s">
        <v>580</v>
      </c>
      <c r="D114" s="22"/>
      <c r="E114" s="22">
        <v>2600</v>
      </c>
    </row>
    <row r="115" spans="1:5" x14ac:dyDescent="0.25">
      <c r="A115" s="22" t="s">
        <v>80</v>
      </c>
      <c r="B115" s="22" t="s">
        <v>350</v>
      </c>
      <c r="C115" s="22" t="s">
        <v>581</v>
      </c>
      <c r="D115" s="22"/>
      <c r="E115" s="22">
        <v>13190</v>
      </c>
    </row>
    <row r="116" spans="1:5" x14ac:dyDescent="0.25">
      <c r="A116" s="22" t="s">
        <v>582</v>
      </c>
      <c r="B116" s="22" t="s">
        <v>350</v>
      </c>
      <c r="C116" s="22" t="s">
        <v>583</v>
      </c>
      <c r="D116" s="22"/>
      <c r="E116" s="22">
        <v>2592</v>
      </c>
    </row>
    <row r="117" spans="1:5" x14ac:dyDescent="0.25">
      <c r="A117" s="22" t="s">
        <v>584</v>
      </c>
      <c r="B117" s="22" t="s">
        <v>350</v>
      </c>
      <c r="C117" s="22" t="s">
        <v>585</v>
      </c>
      <c r="D117" s="22"/>
      <c r="E117" s="22">
        <v>20968</v>
      </c>
    </row>
    <row r="118" spans="1:5" x14ac:dyDescent="0.25">
      <c r="A118" s="22" t="s">
        <v>586</v>
      </c>
      <c r="B118" s="22" t="s">
        <v>350</v>
      </c>
      <c r="C118" s="22" t="s">
        <v>587</v>
      </c>
      <c r="D118" s="22"/>
      <c r="E118" s="22">
        <v>20584</v>
      </c>
    </row>
    <row r="119" spans="1:5" x14ac:dyDescent="0.25">
      <c r="A119" s="22" t="s">
        <v>588</v>
      </c>
      <c r="B119" s="22" t="s">
        <v>350</v>
      </c>
      <c r="C119" s="22" t="s">
        <v>589</v>
      </c>
      <c r="D119" s="22"/>
      <c r="E119" s="22">
        <v>100908</v>
      </c>
    </row>
    <row r="120" spans="1:5" x14ac:dyDescent="0.25">
      <c r="A120" s="22" t="s">
        <v>590</v>
      </c>
      <c r="B120" s="22" t="s">
        <v>350</v>
      </c>
      <c r="C120" s="22" t="s">
        <v>591</v>
      </c>
      <c r="D120" s="22"/>
      <c r="E120" s="22">
        <v>17856</v>
      </c>
    </row>
    <row r="121" spans="1:5" x14ac:dyDescent="0.25">
      <c r="A121" s="22" t="s">
        <v>592</v>
      </c>
      <c r="B121" s="22" t="s">
        <v>350</v>
      </c>
      <c r="C121" s="22" t="s">
        <v>593</v>
      </c>
      <c r="D121" s="22"/>
      <c r="E121" s="22">
        <v>100908</v>
      </c>
    </row>
    <row r="122" spans="1:5" x14ac:dyDescent="0.25">
      <c r="A122" s="22" t="s">
        <v>594</v>
      </c>
      <c r="B122" s="22" t="s">
        <v>350</v>
      </c>
      <c r="C122" s="22" t="s">
        <v>595</v>
      </c>
      <c r="D122" s="22"/>
      <c r="E122" s="22">
        <v>17856</v>
      </c>
    </row>
    <row r="123" spans="1:5" x14ac:dyDescent="0.25">
      <c r="A123" s="22" t="s">
        <v>596</v>
      </c>
      <c r="B123" s="22" t="s">
        <v>350</v>
      </c>
      <c r="C123" s="22" t="s">
        <v>597</v>
      </c>
      <c r="D123" s="22"/>
      <c r="E123" s="22">
        <v>10669</v>
      </c>
    </row>
    <row r="124" spans="1:5" x14ac:dyDescent="0.25">
      <c r="A124" s="22" t="s">
        <v>598</v>
      </c>
      <c r="B124" s="22" t="s">
        <v>350</v>
      </c>
      <c r="C124" s="22" t="s">
        <v>599</v>
      </c>
      <c r="D124" s="22"/>
      <c r="E124" s="22">
        <v>10669</v>
      </c>
    </row>
    <row r="125" spans="1:5" x14ac:dyDescent="0.25">
      <c r="A125" s="22" t="s">
        <v>600</v>
      </c>
      <c r="B125" s="22" t="s">
        <v>350</v>
      </c>
      <c r="C125" s="22" t="s">
        <v>601</v>
      </c>
      <c r="D125" s="22"/>
      <c r="E125" s="22">
        <v>54828</v>
      </c>
    </row>
    <row r="126" spans="1:5" x14ac:dyDescent="0.25">
      <c r="A126" s="22" t="s">
        <v>602</v>
      </c>
      <c r="B126" s="22" t="s">
        <v>350</v>
      </c>
      <c r="C126" s="22" t="s">
        <v>603</v>
      </c>
      <c r="D126" s="22"/>
      <c r="E126" s="22">
        <v>9849</v>
      </c>
    </row>
    <row r="127" spans="1:5" x14ac:dyDescent="0.25">
      <c r="A127" s="22" t="s">
        <v>604</v>
      </c>
      <c r="B127" s="22" t="s">
        <v>350</v>
      </c>
      <c r="C127" s="22" t="s">
        <v>605</v>
      </c>
      <c r="D127" s="22"/>
      <c r="E127" s="22">
        <v>54828</v>
      </c>
    </row>
    <row r="128" spans="1:5" x14ac:dyDescent="0.25">
      <c r="A128" s="22" t="s">
        <v>606</v>
      </c>
      <c r="B128" s="22" t="s">
        <v>350</v>
      </c>
      <c r="C128" s="22" t="s">
        <v>607</v>
      </c>
      <c r="D128" s="22"/>
      <c r="E128" s="22">
        <v>9849</v>
      </c>
    </row>
    <row r="129" spans="1:5" x14ac:dyDescent="0.25">
      <c r="A129" s="22" t="s">
        <v>249</v>
      </c>
      <c r="B129" s="22" t="s">
        <v>350</v>
      </c>
      <c r="C129" s="22" t="s">
        <v>608</v>
      </c>
      <c r="D129" s="22" t="s">
        <v>609</v>
      </c>
      <c r="E129" s="22">
        <v>131488</v>
      </c>
    </row>
    <row r="130" spans="1:5" x14ac:dyDescent="0.25">
      <c r="A130" s="22" t="s">
        <v>610</v>
      </c>
      <c r="B130" s="22" t="s">
        <v>350</v>
      </c>
      <c r="C130" s="22" t="s">
        <v>611</v>
      </c>
      <c r="D130" s="22"/>
      <c r="E130" s="22">
        <v>99354</v>
      </c>
    </row>
    <row r="131" spans="1:5" x14ac:dyDescent="0.25">
      <c r="A131" s="22" t="s">
        <v>612</v>
      </c>
      <c r="B131" s="22" t="s">
        <v>350</v>
      </c>
      <c r="C131" s="22" t="s">
        <v>613</v>
      </c>
      <c r="D131" s="22"/>
      <c r="E131" s="22">
        <v>17845</v>
      </c>
    </row>
    <row r="132" spans="1:5" x14ac:dyDescent="0.25">
      <c r="A132" s="22" t="s">
        <v>614</v>
      </c>
      <c r="B132" s="22" t="s">
        <v>350</v>
      </c>
      <c r="C132" s="22" t="s">
        <v>615</v>
      </c>
      <c r="D132" s="22"/>
      <c r="E132" s="22">
        <v>99354</v>
      </c>
    </row>
    <row r="133" spans="1:5" x14ac:dyDescent="0.25">
      <c r="A133" s="22" t="s">
        <v>616</v>
      </c>
      <c r="B133" s="22" t="s">
        <v>350</v>
      </c>
      <c r="C133" s="22" t="s">
        <v>617</v>
      </c>
      <c r="D133" s="22"/>
      <c r="E133" s="22">
        <v>17845</v>
      </c>
    </row>
    <row r="134" spans="1:5" x14ac:dyDescent="0.25">
      <c r="A134" s="22" t="s">
        <v>618</v>
      </c>
      <c r="B134" s="22" t="s">
        <v>350</v>
      </c>
      <c r="C134" s="22" t="s">
        <v>619</v>
      </c>
      <c r="D134" s="22"/>
      <c r="E134" s="22">
        <v>31790</v>
      </c>
    </row>
    <row r="135" spans="1:5" x14ac:dyDescent="0.25">
      <c r="A135" s="22" t="s">
        <v>620</v>
      </c>
      <c r="B135" s="22" t="s">
        <v>350</v>
      </c>
      <c r="C135" s="22" t="s">
        <v>621</v>
      </c>
      <c r="D135" s="22"/>
      <c r="E135" s="22">
        <v>5864</v>
      </c>
    </row>
    <row r="136" spans="1:5" x14ac:dyDescent="0.25">
      <c r="A136" s="22" t="s">
        <v>622</v>
      </c>
      <c r="B136" s="22" t="s">
        <v>350</v>
      </c>
      <c r="C136" s="22" t="s">
        <v>623</v>
      </c>
      <c r="D136" s="22"/>
      <c r="E136" s="22">
        <v>31790</v>
      </c>
    </row>
    <row r="137" spans="1:5" x14ac:dyDescent="0.25">
      <c r="A137" s="22" t="s">
        <v>624</v>
      </c>
      <c r="B137" s="22" t="s">
        <v>350</v>
      </c>
      <c r="C137" s="22" t="s">
        <v>625</v>
      </c>
      <c r="D137" s="22"/>
      <c r="E137" s="22">
        <v>5864</v>
      </c>
    </row>
    <row r="138" spans="1:5" x14ac:dyDescent="0.25">
      <c r="A138" s="22" t="s">
        <v>22</v>
      </c>
      <c r="B138" s="22" t="s">
        <v>350</v>
      </c>
      <c r="C138" s="22" t="s">
        <v>626</v>
      </c>
      <c r="D138" s="22"/>
      <c r="E138" s="22">
        <v>15750</v>
      </c>
    </row>
    <row r="139" spans="1:5" x14ac:dyDescent="0.25">
      <c r="A139" s="22" t="s">
        <v>627</v>
      </c>
      <c r="B139" s="22" t="s">
        <v>350</v>
      </c>
      <c r="C139" s="22" t="s">
        <v>628</v>
      </c>
      <c r="D139" s="22"/>
      <c r="E139" s="22">
        <v>9948</v>
      </c>
    </row>
    <row r="140" spans="1:5" x14ac:dyDescent="0.25">
      <c r="A140" s="22" t="s">
        <v>629</v>
      </c>
      <c r="B140" s="22" t="s">
        <v>350</v>
      </c>
      <c r="C140" s="22" t="s">
        <v>630</v>
      </c>
      <c r="D140" s="22"/>
      <c r="E140" s="22">
        <v>2506</v>
      </c>
    </row>
    <row r="141" spans="1:5" x14ac:dyDescent="0.25">
      <c r="A141" s="22" t="s">
        <v>631</v>
      </c>
      <c r="B141" s="22" t="s">
        <v>350</v>
      </c>
      <c r="C141" s="22" t="s">
        <v>632</v>
      </c>
      <c r="D141" s="22"/>
      <c r="E141" s="22">
        <v>8401</v>
      </c>
    </row>
    <row r="142" spans="1:5" x14ac:dyDescent="0.25">
      <c r="A142" s="22" t="s">
        <v>633</v>
      </c>
      <c r="B142" s="22" t="s">
        <v>350</v>
      </c>
      <c r="C142" s="22" t="s">
        <v>634</v>
      </c>
      <c r="D142" s="22" t="s">
        <v>142</v>
      </c>
      <c r="E142" s="22">
        <v>47011</v>
      </c>
    </row>
    <row r="143" spans="1:5" x14ac:dyDescent="0.25">
      <c r="A143" s="22" t="s">
        <v>635</v>
      </c>
      <c r="B143" s="22" t="s">
        <v>350</v>
      </c>
      <c r="C143" s="22" t="s">
        <v>636</v>
      </c>
      <c r="D143" s="22"/>
      <c r="E143" s="22">
        <v>54922</v>
      </c>
    </row>
    <row r="144" spans="1:5" x14ac:dyDescent="0.25">
      <c r="A144" s="22" t="s">
        <v>637</v>
      </c>
      <c r="B144" s="22" t="s">
        <v>350</v>
      </c>
      <c r="C144" s="22" t="s">
        <v>638</v>
      </c>
      <c r="D144" s="22" t="s">
        <v>181</v>
      </c>
      <c r="E144" s="22">
        <v>88176</v>
      </c>
    </row>
    <row r="145" spans="1:5" x14ac:dyDescent="0.25">
      <c r="A145" s="22" t="s">
        <v>639</v>
      </c>
      <c r="B145" s="22" t="s">
        <v>350</v>
      </c>
      <c r="C145" s="22" t="s">
        <v>640</v>
      </c>
      <c r="D145" s="22"/>
      <c r="E145" s="22">
        <v>9707</v>
      </c>
    </row>
    <row r="146" spans="1:5" x14ac:dyDescent="0.25">
      <c r="A146" s="22" t="s">
        <v>641</v>
      </c>
      <c r="B146" s="22" t="s">
        <v>350</v>
      </c>
      <c r="C146" s="22" t="s">
        <v>642</v>
      </c>
      <c r="D146" s="22"/>
      <c r="E146" s="22">
        <v>54922</v>
      </c>
    </row>
    <row r="147" spans="1:5" x14ac:dyDescent="0.25">
      <c r="A147" s="22" t="s">
        <v>643</v>
      </c>
      <c r="B147" s="22" t="s">
        <v>350</v>
      </c>
      <c r="C147" s="22" t="s">
        <v>644</v>
      </c>
      <c r="D147" s="22"/>
      <c r="E147" s="22">
        <v>9708</v>
      </c>
    </row>
    <row r="148" spans="1:5" x14ac:dyDescent="0.25">
      <c r="A148" s="22" t="s">
        <v>645</v>
      </c>
      <c r="B148" s="22" t="s">
        <v>350</v>
      </c>
      <c r="C148" s="22" t="s">
        <v>646</v>
      </c>
      <c r="D148" s="22"/>
      <c r="E148" s="22">
        <v>32969</v>
      </c>
    </row>
    <row r="149" spans="1:5" x14ac:dyDescent="0.25">
      <c r="A149" s="22" t="s">
        <v>83</v>
      </c>
      <c r="B149" s="22" t="s">
        <v>350</v>
      </c>
      <c r="C149" s="22" t="s">
        <v>647</v>
      </c>
      <c r="D149" s="22"/>
      <c r="E149" s="22">
        <v>13190</v>
      </c>
    </row>
    <row r="150" spans="1:5" x14ac:dyDescent="0.25">
      <c r="A150" s="22" t="s">
        <v>648</v>
      </c>
      <c r="B150" s="22" t="s">
        <v>350</v>
      </c>
      <c r="C150" s="22" t="s">
        <v>649</v>
      </c>
      <c r="D150" s="22"/>
      <c r="E150" s="22">
        <v>2600</v>
      </c>
    </row>
    <row r="151" spans="1:5" x14ac:dyDescent="0.25">
      <c r="A151" s="22" t="s">
        <v>650</v>
      </c>
      <c r="B151" s="22" t="s">
        <v>350</v>
      </c>
      <c r="C151" s="22" t="s">
        <v>651</v>
      </c>
      <c r="D151" s="22" t="s">
        <v>221</v>
      </c>
      <c r="E151" s="22">
        <v>47011</v>
      </c>
    </row>
    <row r="152" spans="1:5" x14ac:dyDescent="0.25">
      <c r="A152" s="22" t="s">
        <v>341</v>
      </c>
      <c r="B152" s="22" t="s">
        <v>350</v>
      </c>
      <c r="C152" s="22" t="s">
        <v>652</v>
      </c>
      <c r="D152" s="22" t="s">
        <v>151</v>
      </c>
      <c r="E152" s="22">
        <v>126325</v>
      </c>
    </row>
    <row r="153" spans="1:5" x14ac:dyDescent="0.25">
      <c r="A153" s="22" t="s">
        <v>653</v>
      </c>
      <c r="B153" s="22" t="s">
        <v>350</v>
      </c>
      <c r="C153" s="22" t="s">
        <v>654</v>
      </c>
      <c r="D153" s="22"/>
      <c r="E153" s="22">
        <v>64708</v>
      </c>
    </row>
    <row r="154" spans="1:5" x14ac:dyDescent="0.25">
      <c r="A154" s="22" t="s">
        <v>655</v>
      </c>
      <c r="B154" s="22" t="s">
        <v>350</v>
      </c>
      <c r="C154" s="22" t="s">
        <v>656</v>
      </c>
      <c r="D154" s="22"/>
      <c r="E154" s="22">
        <v>64900</v>
      </c>
    </row>
    <row r="155" spans="1:5" x14ac:dyDescent="0.25">
      <c r="A155" s="22" t="s">
        <v>657</v>
      </c>
      <c r="B155" s="22" t="s">
        <v>350</v>
      </c>
      <c r="C155" s="22" t="s">
        <v>658</v>
      </c>
      <c r="D155" s="22"/>
      <c r="E155" s="22">
        <v>64708</v>
      </c>
    </row>
    <row r="156" spans="1:5" x14ac:dyDescent="0.25">
      <c r="A156" s="22" t="s">
        <v>659</v>
      </c>
      <c r="B156" s="22" t="s">
        <v>350</v>
      </c>
      <c r="C156" s="22" t="s">
        <v>660</v>
      </c>
      <c r="D156" s="22"/>
      <c r="E156" s="22">
        <v>64708</v>
      </c>
    </row>
    <row r="157" spans="1:5" x14ac:dyDescent="0.25">
      <c r="A157" s="22" t="s">
        <v>661</v>
      </c>
      <c r="B157" s="22" t="s">
        <v>350</v>
      </c>
      <c r="C157" s="22" t="s">
        <v>662</v>
      </c>
      <c r="D157" s="22"/>
      <c r="E157" s="22">
        <v>61860</v>
      </c>
    </row>
    <row r="158" spans="1:5" x14ac:dyDescent="0.25">
      <c r="A158" s="22" t="s">
        <v>663</v>
      </c>
      <c r="B158" s="22" t="s">
        <v>350</v>
      </c>
      <c r="C158" s="22" t="s">
        <v>664</v>
      </c>
      <c r="D158" s="22"/>
      <c r="E158" s="22">
        <v>7251</v>
      </c>
    </row>
    <row r="159" spans="1:5" x14ac:dyDescent="0.25">
      <c r="A159" s="22" t="s">
        <v>665</v>
      </c>
      <c r="B159" s="22" t="s">
        <v>350</v>
      </c>
      <c r="C159" s="22" t="s">
        <v>666</v>
      </c>
      <c r="D159" s="22"/>
      <c r="E159" s="22">
        <v>61668</v>
      </c>
    </row>
    <row r="160" spans="1:5" x14ac:dyDescent="0.25">
      <c r="A160" s="22" t="s">
        <v>667</v>
      </c>
      <c r="B160" s="22" t="s">
        <v>350</v>
      </c>
      <c r="C160" s="22" t="s">
        <v>668</v>
      </c>
      <c r="D160" s="22"/>
      <c r="E160" s="22">
        <v>41135</v>
      </c>
    </row>
    <row r="161" spans="1:5" x14ac:dyDescent="0.25">
      <c r="A161" s="22" t="s">
        <v>669</v>
      </c>
      <c r="B161" s="22" t="s">
        <v>350</v>
      </c>
      <c r="C161" s="22" t="s">
        <v>670</v>
      </c>
      <c r="D161" s="22"/>
      <c r="E161" s="22">
        <v>2651</v>
      </c>
    </row>
    <row r="162" spans="1:5" x14ac:dyDescent="0.25">
      <c r="A162" s="22" t="s">
        <v>671</v>
      </c>
      <c r="B162" s="22" t="s">
        <v>350</v>
      </c>
      <c r="C162" s="22" t="s">
        <v>672</v>
      </c>
      <c r="D162" s="22" t="s">
        <v>673</v>
      </c>
      <c r="E162" s="22">
        <v>73274</v>
      </c>
    </row>
    <row r="163" spans="1:5" x14ac:dyDescent="0.25">
      <c r="A163" s="22" t="s">
        <v>674</v>
      </c>
      <c r="B163" s="22" t="s">
        <v>350</v>
      </c>
      <c r="C163" s="22" t="s">
        <v>675</v>
      </c>
      <c r="D163" s="22" t="s">
        <v>410</v>
      </c>
      <c r="E163" s="22">
        <v>21572</v>
      </c>
    </row>
    <row r="164" spans="1:5" x14ac:dyDescent="0.25">
      <c r="A164" s="22" t="s">
        <v>676</v>
      </c>
      <c r="B164" s="22" t="s">
        <v>350</v>
      </c>
      <c r="C164" s="22" t="s">
        <v>677</v>
      </c>
      <c r="D164" s="22"/>
      <c r="E164" s="22">
        <v>2600</v>
      </c>
    </row>
    <row r="165" spans="1:5" x14ac:dyDescent="0.25">
      <c r="A165" s="22" t="s">
        <v>678</v>
      </c>
      <c r="B165" s="22" t="s">
        <v>350</v>
      </c>
      <c r="C165" s="22" t="s">
        <v>679</v>
      </c>
      <c r="D165" s="22"/>
      <c r="E165" s="22">
        <v>134921</v>
      </c>
    </row>
    <row r="166" spans="1:5" x14ac:dyDescent="0.25">
      <c r="A166" s="22" t="s">
        <v>680</v>
      </c>
      <c r="B166" s="22" t="s">
        <v>350</v>
      </c>
      <c r="C166" s="22" t="s">
        <v>681</v>
      </c>
      <c r="D166" s="22"/>
      <c r="E166" s="22">
        <v>74582</v>
      </c>
    </row>
    <row r="167" spans="1:5" x14ac:dyDescent="0.25">
      <c r="A167" s="22" t="s">
        <v>682</v>
      </c>
      <c r="B167" s="22" t="s">
        <v>350</v>
      </c>
      <c r="C167" s="22" t="s">
        <v>683</v>
      </c>
      <c r="D167" s="22"/>
      <c r="E167" s="22">
        <v>74582</v>
      </c>
    </row>
    <row r="168" spans="1:5" x14ac:dyDescent="0.25">
      <c r="A168" s="22" t="s">
        <v>684</v>
      </c>
      <c r="B168" s="22" t="s">
        <v>350</v>
      </c>
      <c r="C168" s="22" t="s">
        <v>685</v>
      </c>
      <c r="D168" s="22"/>
      <c r="E168" s="22">
        <v>134921</v>
      </c>
    </row>
    <row r="169" spans="1:5" x14ac:dyDescent="0.25">
      <c r="A169" s="22" t="s">
        <v>686</v>
      </c>
      <c r="B169" s="22" t="s">
        <v>350</v>
      </c>
      <c r="C169" s="22" t="s">
        <v>687</v>
      </c>
      <c r="D169" s="22"/>
      <c r="E169" s="22">
        <v>74582</v>
      </c>
    </row>
    <row r="170" spans="1:5" x14ac:dyDescent="0.25">
      <c r="A170" s="22" t="s">
        <v>688</v>
      </c>
      <c r="B170" s="22" t="s">
        <v>350</v>
      </c>
      <c r="C170" s="22" t="s">
        <v>689</v>
      </c>
      <c r="D170" s="22"/>
      <c r="E170" s="22">
        <v>74582</v>
      </c>
    </row>
    <row r="171" spans="1:5" x14ac:dyDescent="0.25">
      <c r="A171" s="22" t="s">
        <v>690</v>
      </c>
      <c r="B171" s="22" t="s">
        <v>350</v>
      </c>
      <c r="C171" s="22" t="s">
        <v>691</v>
      </c>
      <c r="D171" s="22" t="s">
        <v>692</v>
      </c>
      <c r="E171" s="22">
        <v>1368752</v>
      </c>
    </row>
    <row r="172" spans="1:5" x14ac:dyDescent="0.25">
      <c r="A172" s="22" t="s">
        <v>693</v>
      </c>
      <c r="B172" s="22" t="s">
        <v>350</v>
      </c>
      <c r="C172" s="22" t="s">
        <v>694</v>
      </c>
      <c r="D172" s="22"/>
      <c r="E172" s="22">
        <v>722095</v>
      </c>
    </row>
    <row r="173" spans="1:5" x14ac:dyDescent="0.25">
      <c r="A173" s="22" t="s">
        <v>695</v>
      </c>
      <c r="B173" s="22" t="s">
        <v>350</v>
      </c>
      <c r="C173" s="22" t="s">
        <v>696</v>
      </c>
      <c r="D173" s="22"/>
      <c r="E173" s="22">
        <v>722095</v>
      </c>
    </row>
    <row r="174" spans="1:5" x14ac:dyDescent="0.25">
      <c r="A174" s="22" t="s">
        <v>697</v>
      </c>
      <c r="B174" s="22" t="s">
        <v>350</v>
      </c>
      <c r="C174" s="22" t="s">
        <v>698</v>
      </c>
      <c r="D174" s="22" t="s">
        <v>699</v>
      </c>
      <c r="E174" s="22">
        <v>1950727</v>
      </c>
    </row>
    <row r="175" spans="1:5" x14ac:dyDescent="0.25">
      <c r="A175" s="22" t="s">
        <v>700</v>
      </c>
      <c r="B175" s="22" t="s">
        <v>350</v>
      </c>
      <c r="C175" s="22" t="s">
        <v>701</v>
      </c>
      <c r="D175" s="22"/>
      <c r="E175" s="22">
        <v>962077</v>
      </c>
    </row>
    <row r="176" spans="1:5" x14ac:dyDescent="0.25">
      <c r="A176" s="22" t="s">
        <v>702</v>
      </c>
      <c r="B176" s="22" t="s">
        <v>350</v>
      </c>
      <c r="C176" s="22" t="s">
        <v>703</v>
      </c>
      <c r="D176" s="22"/>
      <c r="E176" s="22">
        <v>962077</v>
      </c>
    </row>
    <row r="177" spans="1:5" x14ac:dyDescent="0.25">
      <c r="A177" s="22" t="s">
        <v>704</v>
      </c>
      <c r="B177" s="22" t="s">
        <v>350</v>
      </c>
      <c r="C177" s="22" t="s">
        <v>705</v>
      </c>
      <c r="D177" s="22"/>
      <c r="E177" s="22">
        <v>1014058</v>
      </c>
    </row>
    <row r="178" spans="1:5" x14ac:dyDescent="0.25">
      <c r="A178" s="22" t="s">
        <v>706</v>
      </c>
      <c r="B178" s="22" t="s">
        <v>350</v>
      </c>
      <c r="C178" s="22" t="s">
        <v>707</v>
      </c>
      <c r="D178" s="22"/>
      <c r="E178" s="22">
        <v>1016156</v>
      </c>
    </row>
    <row r="179" spans="1:5" x14ac:dyDescent="0.25">
      <c r="A179" s="22" t="s">
        <v>708</v>
      </c>
      <c r="B179" s="22" t="s">
        <v>350</v>
      </c>
      <c r="C179" s="22" t="s">
        <v>709</v>
      </c>
      <c r="D179" s="22"/>
      <c r="E179" s="22">
        <v>1016156</v>
      </c>
    </row>
    <row r="180" spans="1:5" x14ac:dyDescent="0.25">
      <c r="A180" s="22" t="s">
        <v>710</v>
      </c>
      <c r="B180" s="22" t="s">
        <v>350</v>
      </c>
      <c r="C180" s="22" t="s">
        <v>711</v>
      </c>
      <c r="D180" s="22"/>
      <c r="E180" s="22">
        <v>952595</v>
      </c>
    </row>
    <row r="181" spans="1:5" x14ac:dyDescent="0.25">
      <c r="A181" s="22" t="s">
        <v>712</v>
      </c>
      <c r="B181" s="22" t="s">
        <v>350</v>
      </c>
      <c r="C181" s="22" t="s">
        <v>713</v>
      </c>
      <c r="D181" s="22"/>
      <c r="E181" s="22">
        <v>952972</v>
      </c>
    </row>
    <row r="182" spans="1:5" x14ac:dyDescent="0.25">
      <c r="A182" s="22" t="s">
        <v>714</v>
      </c>
      <c r="B182" s="22" t="s">
        <v>350</v>
      </c>
      <c r="C182" s="22" t="s">
        <v>715</v>
      </c>
      <c r="D182" s="22" t="s">
        <v>716</v>
      </c>
      <c r="E182" s="22">
        <v>2233768</v>
      </c>
    </row>
    <row r="183" spans="1:5" x14ac:dyDescent="0.25">
      <c r="A183" s="22" t="s">
        <v>717</v>
      </c>
      <c r="B183" s="22" t="s">
        <v>350</v>
      </c>
      <c r="C183" s="22" t="s">
        <v>718</v>
      </c>
      <c r="D183" s="22"/>
      <c r="E183" s="22">
        <v>952974</v>
      </c>
    </row>
    <row r="184" spans="1:5" x14ac:dyDescent="0.25">
      <c r="A184" s="22" t="s">
        <v>719</v>
      </c>
      <c r="B184" s="22" t="s">
        <v>350</v>
      </c>
      <c r="C184" s="22" t="s">
        <v>720</v>
      </c>
      <c r="D184" s="22"/>
      <c r="E184" s="22">
        <v>952972</v>
      </c>
    </row>
    <row r="185" spans="1:5" x14ac:dyDescent="0.25">
      <c r="A185" s="22" t="s">
        <v>721</v>
      </c>
      <c r="B185" s="22" t="s">
        <v>350</v>
      </c>
      <c r="C185" s="22" t="s">
        <v>722</v>
      </c>
      <c r="D185" s="22"/>
      <c r="E185" s="22">
        <v>31882</v>
      </c>
    </row>
    <row r="186" spans="1:5" x14ac:dyDescent="0.25">
      <c r="A186" s="22" t="s">
        <v>723</v>
      </c>
      <c r="B186" s="22" t="s">
        <v>350</v>
      </c>
      <c r="C186" s="22" t="s">
        <v>724</v>
      </c>
      <c r="D186" s="22"/>
      <c r="E186" s="22">
        <v>5894</v>
      </c>
    </row>
    <row r="187" spans="1:5" x14ac:dyDescent="0.25">
      <c r="A187" s="22" t="s">
        <v>725</v>
      </c>
      <c r="B187" s="22" t="s">
        <v>350</v>
      </c>
      <c r="C187" s="22" t="s">
        <v>726</v>
      </c>
      <c r="D187" s="22"/>
      <c r="E187" s="22">
        <v>31882</v>
      </c>
    </row>
    <row r="188" spans="1:5" x14ac:dyDescent="0.25">
      <c r="A188" s="22" t="s">
        <v>727</v>
      </c>
      <c r="B188" s="22" t="s">
        <v>350</v>
      </c>
      <c r="C188" s="22" t="s">
        <v>728</v>
      </c>
      <c r="D188" s="22"/>
      <c r="E188" s="22">
        <v>5844</v>
      </c>
    </row>
    <row r="189" spans="1:5" x14ac:dyDescent="0.25">
      <c r="A189" s="22" t="s">
        <v>729</v>
      </c>
      <c r="B189" s="22" t="s">
        <v>350</v>
      </c>
      <c r="C189" s="22" t="s">
        <v>730</v>
      </c>
      <c r="D189" s="22"/>
      <c r="E189" s="22">
        <v>31933</v>
      </c>
    </row>
    <row r="190" spans="1:5" x14ac:dyDescent="0.25">
      <c r="A190" s="22" t="s">
        <v>731</v>
      </c>
      <c r="B190" s="22" t="s">
        <v>350</v>
      </c>
      <c r="C190" s="22" t="s">
        <v>732</v>
      </c>
      <c r="D190" s="22"/>
      <c r="E190" s="22">
        <v>5909</v>
      </c>
    </row>
    <row r="191" spans="1:5" x14ac:dyDescent="0.25">
      <c r="A191" s="22" t="s">
        <v>733</v>
      </c>
      <c r="B191" s="22" t="s">
        <v>350</v>
      </c>
      <c r="C191" s="22" t="s">
        <v>734</v>
      </c>
      <c r="D191" s="22"/>
      <c r="E191" s="22">
        <v>31933</v>
      </c>
    </row>
    <row r="192" spans="1:5" x14ac:dyDescent="0.25">
      <c r="A192" s="22" t="s">
        <v>735</v>
      </c>
      <c r="B192" s="22" t="s">
        <v>350</v>
      </c>
      <c r="C192" s="22" t="s">
        <v>736</v>
      </c>
      <c r="D192" s="22"/>
      <c r="E192" s="22">
        <v>5864</v>
      </c>
    </row>
    <row r="193" spans="1:5" x14ac:dyDescent="0.25">
      <c r="A193" s="22" t="s">
        <v>76</v>
      </c>
      <c r="B193" s="22" t="s">
        <v>350</v>
      </c>
      <c r="C193" s="22" t="s">
        <v>737</v>
      </c>
      <c r="D193" s="22"/>
      <c r="E193" s="22">
        <v>13190</v>
      </c>
    </row>
    <row r="194" spans="1:5" x14ac:dyDescent="0.25">
      <c r="A194" s="22" t="s">
        <v>738</v>
      </c>
      <c r="B194" s="22" t="s">
        <v>350</v>
      </c>
      <c r="C194" s="22" t="s">
        <v>739</v>
      </c>
      <c r="D194" s="22"/>
      <c r="E194" s="22">
        <v>2592</v>
      </c>
    </row>
    <row r="195" spans="1:5" x14ac:dyDescent="0.25">
      <c r="A195" s="22" t="s">
        <v>740</v>
      </c>
      <c r="B195" s="22" t="s">
        <v>350</v>
      </c>
      <c r="C195" s="22" t="s">
        <v>741</v>
      </c>
      <c r="D195" s="22" t="s">
        <v>742</v>
      </c>
      <c r="E195" s="22">
        <v>1715425</v>
      </c>
    </row>
    <row r="196" spans="1:5" x14ac:dyDescent="0.25">
      <c r="A196" s="22" t="s">
        <v>743</v>
      </c>
      <c r="B196" s="22" t="s">
        <v>350</v>
      </c>
      <c r="C196" s="22" t="s">
        <v>744</v>
      </c>
      <c r="D196" s="22"/>
      <c r="E196" s="22">
        <v>875288</v>
      </c>
    </row>
    <row r="197" spans="1:5" x14ac:dyDescent="0.25">
      <c r="A197" s="22" t="s">
        <v>745</v>
      </c>
      <c r="B197" s="22" t="s">
        <v>350</v>
      </c>
      <c r="C197" s="22" t="s">
        <v>746</v>
      </c>
      <c r="D197" s="22"/>
      <c r="E197" s="22">
        <v>875288</v>
      </c>
    </row>
    <row r="198" spans="1:5" x14ac:dyDescent="0.25">
      <c r="A198" s="22" t="s">
        <v>747</v>
      </c>
      <c r="B198" s="22" t="s">
        <v>350</v>
      </c>
      <c r="C198" s="22" t="s">
        <v>748</v>
      </c>
      <c r="D198" s="22" t="s">
        <v>749</v>
      </c>
      <c r="E198" s="22">
        <v>955040</v>
      </c>
    </row>
    <row r="199" spans="1:5" x14ac:dyDescent="0.25">
      <c r="A199" s="22" t="s">
        <v>750</v>
      </c>
      <c r="B199" s="22" t="s">
        <v>350</v>
      </c>
      <c r="C199" s="22" t="s">
        <v>751</v>
      </c>
      <c r="D199" s="22"/>
      <c r="E199" s="22">
        <v>490483</v>
      </c>
    </row>
    <row r="200" spans="1:5" x14ac:dyDescent="0.25">
      <c r="A200" s="22" t="s">
        <v>752</v>
      </c>
      <c r="B200" s="22" t="s">
        <v>350</v>
      </c>
      <c r="C200" s="22" t="s">
        <v>753</v>
      </c>
      <c r="D200" s="22"/>
      <c r="E200" s="22">
        <v>490483</v>
      </c>
    </row>
    <row r="201" spans="1:5" x14ac:dyDescent="0.25">
      <c r="A201" s="22" t="s">
        <v>754</v>
      </c>
      <c r="B201" s="22" t="s">
        <v>350</v>
      </c>
      <c r="C201" s="22" t="s">
        <v>755</v>
      </c>
      <c r="D201" s="22"/>
      <c r="E201" s="22">
        <v>40065</v>
      </c>
    </row>
    <row r="202" spans="1:5" x14ac:dyDescent="0.25">
      <c r="A202" s="22" t="s">
        <v>756</v>
      </c>
      <c r="B202" s="22" t="s">
        <v>350</v>
      </c>
      <c r="C202" s="22" t="s">
        <v>757</v>
      </c>
      <c r="D202" s="22"/>
      <c r="E202" s="22">
        <v>690319</v>
      </c>
    </row>
    <row r="203" spans="1:5" x14ac:dyDescent="0.25">
      <c r="A203" s="22" t="s">
        <v>758</v>
      </c>
      <c r="B203" s="22" t="s">
        <v>350</v>
      </c>
      <c r="C203" s="22" t="s">
        <v>759</v>
      </c>
      <c r="D203" s="22"/>
      <c r="E203" s="22">
        <v>690319</v>
      </c>
    </row>
    <row r="204" spans="1:5" x14ac:dyDescent="0.25">
      <c r="A204" s="22" t="s">
        <v>760</v>
      </c>
      <c r="B204" s="22" t="s">
        <v>350</v>
      </c>
      <c r="C204" s="22" t="s">
        <v>761</v>
      </c>
      <c r="D204" s="22"/>
      <c r="E204" s="22">
        <v>57873</v>
      </c>
    </row>
    <row r="205" spans="1:5" x14ac:dyDescent="0.25">
      <c r="A205" s="22" t="s">
        <v>762</v>
      </c>
      <c r="B205" s="22" t="s">
        <v>350</v>
      </c>
      <c r="C205" s="22" t="s">
        <v>763</v>
      </c>
      <c r="D205" s="22"/>
      <c r="E205" s="22">
        <v>2643</v>
      </c>
    </row>
    <row r="206" spans="1:5" x14ac:dyDescent="0.25">
      <c r="A206" s="22" t="s">
        <v>764</v>
      </c>
      <c r="B206" s="22" t="s">
        <v>350</v>
      </c>
      <c r="C206" s="22" t="s">
        <v>765</v>
      </c>
      <c r="D206" s="22"/>
      <c r="E206" s="22">
        <v>57873</v>
      </c>
    </row>
    <row r="207" spans="1:5" x14ac:dyDescent="0.25">
      <c r="A207" s="22" t="s">
        <v>766</v>
      </c>
      <c r="B207" s="22" t="s">
        <v>350</v>
      </c>
      <c r="C207" s="22" t="s">
        <v>767</v>
      </c>
      <c r="D207" s="22"/>
      <c r="E207" s="22">
        <v>2643</v>
      </c>
    </row>
    <row r="208" spans="1:5" x14ac:dyDescent="0.25">
      <c r="A208" s="22" t="s">
        <v>768</v>
      </c>
      <c r="B208" s="22" t="s">
        <v>350</v>
      </c>
      <c r="C208" s="22" t="s">
        <v>769</v>
      </c>
      <c r="D208" s="22"/>
      <c r="E208" s="22">
        <v>57873</v>
      </c>
    </row>
    <row r="209" spans="1:5" x14ac:dyDescent="0.25">
      <c r="A209" s="22" t="s">
        <v>770</v>
      </c>
      <c r="B209" s="22" t="s">
        <v>350</v>
      </c>
      <c r="C209" s="22" t="s">
        <v>771</v>
      </c>
      <c r="D209" s="22"/>
      <c r="E209" s="22">
        <v>2643</v>
      </c>
    </row>
    <row r="210" spans="1:5" x14ac:dyDescent="0.25">
      <c r="A210" s="22" t="s">
        <v>772</v>
      </c>
      <c r="B210" s="22" t="s">
        <v>350</v>
      </c>
      <c r="C210" s="22" t="s">
        <v>773</v>
      </c>
      <c r="D210" s="22"/>
      <c r="E210" s="22">
        <v>57873</v>
      </c>
    </row>
    <row r="211" spans="1:5" x14ac:dyDescent="0.25">
      <c r="A211" s="22" t="s">
        <v>774</v>
      </c>
      <c r="B211" s="22" t="s">
        <v>350</v>
      </c>
      <c r="C211" s="22" t="s">
        <v>775</v>
      </c>
      <c r="D211" s="22"/>
      <c r="E211" s="22">
        <v>2643</v>
      </c>
    </row>
    <row r="212" spans="1:5" x14ac:dyDescent="0.25">
      <c r="A212" s="22" t="s">
        <v>776</v>
      </c>
      <c r="B212" s="22" t="s">
        <v>350</v>
      </c>
      <c r="C212" s="22" t="s">
        <v>777</v>
      </c>
      <c r="D212" s="22" t="s">
        <v>778</v>
      </c>
      <c r="E212" s="22">
        <v>110217</v>
      </c>
    </row>
    <row r="213" spans="1:5" x14ac:dyDescent="0.25">
      <c r="A213" s="22" t="s">
        <v>779</v>
      </c>
      <c r="B213" s="22" t="s">
        <v>350</v>
      </c>
      <c r="C213" s="22" t="s">
        <v>780</v>
      </c>
      <c r="D213" s="22" t="s">
        <v>781</v>
      </c>
      <c r="E213" s="22">
        <v>110709</v>
      </c>
    </row>
    <row r="214" spans="1:5" x14ac:dyDescent="0.25">
      <c r="A214" s="22" t="s">
        <v>782</v>
      </c>
      <c r="B214" s="22" t="s">
        <v>350</v>
      </c>
      <c r="C214" s="22" t="s">
        <v>783</v>
      </c>
      <c r="D214" s="22"/>
      <c r="E214" s="22">
        <v>31788</v>
      </c>
    </row>
    <row r="215" spans="1:5" x14ac:dyDescent="0.25">
      <c r="A215" s="22" t="s">
        <v>784</v>
      </c>
      <c r="B215" s="22" t="s">
        <v>350</v>
      </c>
      <c r="C215" s="22" t="s">
        <v>785</v>
      </c>
      <c r="D215" s="22"/>
      <c r="E215" s="22">
        <v>5849</v>
      </c>
    </row>
    <row r="216" spans="1:5" x14ac:dyDescent="0.25">
      <c r="A216" s="22" t="s">
        <v>786</v>
      </c>
      <c r="B216" s="22" t="s">
        <v>350</v>
      </c>
      <c r="C216" s="22" t="s">
        <v>787</v>
      </c>
      <c r="D216" s="22"/>
      <c r="E216" s="22">
        <v>31788</v>
      </c>
    </row>
    <row r="217" spans="1:5" x14ac:dyDescent="0.25">
      <c r="A217" s="22" t="s">
        <v>788</v>
      </c>
      <c r="B217" s="22" t="s">
        <v>350</v>
      </c>
      <c r="C217" s="22" t="s">
        <v>789</v>
      </c>
      <c r="D217" s="22"/>
      <c r="E217" s="22">
        <v>5849</v>
      </c>
    </row>
    <row r="218" spans="1:5" x14ac:dyDescent="0.25">
      <c r="A218" s="22" t="s">
        <v>790</v>
      </c>
      <c r="B218" s="22" t="s">
        <v>350</v>
      </c>
      <c r="C218" s="22" t="s">
        <v>791</v>
      </c>
      <c r="D218" s="22" t="s">
        <v>792</v>
      </c>
      <c r="E218" s="22">
        <v>75744</v>
      </c>
    </row>
    <row r="219" spans="1:5" x14ac:dyDescent="0.25">
      <c r="A219" s="22" t="s">
        <v>793</v>
      </c>
      <c r="B219" s="22" t="s">
        <v>350</v>
      </c>
      <c r="C219" s="22" t="s">
        <v>794</v>
      </c>
      <c r="D219" s="22" t="s">
        <v>699</v>
      </c>
      <c r="E219" s="22">
        <v>1032287</v>
      </c>
    </row>
    <row r="220" spans="1:5" x14ac:dyDescent="0.25">
      <c r="A220" s="22" t="s">
        <v>795</v>
      </c>
      <c r="B220" s="22" t="s">
        <v>350</v>
      </c>
      <c r="C220" s="22" t="s">
        <v>796</v>
      </c>
      <c r="D220" s="22"/>
      <c r="E220" s="22">
        <v>515139</v>
      </c>
    </row>
    <row r="221" spans="1:5" x14ac:dyDescent="0.25">
      <c r="A221" s="22" t="s">
        <v>797</v>
      </c>
      <c r="B221" s="22" t="s">
        <v>350</v>
      </c>
      <c r="C221" s="22" t="s">
        <v>798</v>
      </c>
      <c r="D221" s="22"/>
      <c r="E221" s="22">
        <v>515139</v>
      </c>
    </row>
    <row r="222" spans="1:5" x14ac:dyDescent="0.25">
      <c r="A222" s="22" t="s">
        <v>799</v>
      </c>
      <c r="B222" s="22" t="s">
        <v>350</v>
      </c>
      <c r="C222" s="22" t="s">
        <v>800</v>
      </c>
      <c r="D222" s="22" t="s">
        <v>801</v>
      </c>
      <c r="E222" s="22">
        <v>806216</v>
      </c>
    </row>
    <row r="223" spans="1:5" x14ac:dyDescent="0.25">
      <c r="A223" s="22" t="s">
        <v>802</v>
      </c>
      <c r="B223" s="22" t="s">
        <v>350</v>
      </c>
      <c r="C223" s="22" t="s">
        <v>803</v>
      </c>
      <c r="D223" s="22"/>
      <c r="E223" s="22">
        <v>432238</v>
      </c>
    </row>
    <row r="224" spans="1:5" x14ac:dyDescent="0.25">
      <c r="A224" s="22" t="s">
        <v>804</v>
      </c>
      <c r="B224" s="22" t="s">
        <v>350</v>
      </c>
      <c r="C224" s="22" t="s">
        <v>805</v>
      </c>
      <c r="D224" s="22"/>
      <c r="E224" s="22">
        <v>432238</v>
      </c>
    </row>
    <row r="225" spans="1:5" x14ac:dyDescent="0.25">
      <c r="A225" s="22" t="s">
        <v>806</v>
      </c>
      <c r="B225" s="22" t="s">
        <v>350</v>
      </c>
      <c r="C225" s="22" t="s">
        <v>807</v>
      </c>
      <c r="D225" s="22" t="s">
        <v>808</v>
      </c>
      <c r="E225" s="22">
        <v>1151169</v>
      </c>
    </row>
    <row r="226" spans="1:5" x14ac:dyDescent="0.25">
      <c r="A226" s="22" t="s">
        <v>809</v>
      </c>
      <c r="B226" s="22" t="s">
        <v>350</v>
      </c>
      <c r="C226" s="22" t="s">
        <v>810</v>
      </c>
      <c r="D226" s="22"/>
      <c r="E226" s="22">
        <v>609571</v>
      </c>
    </row>
    <row r="227" spans="1:5" x14ac:dyDescent="0.25">
      <c r="A227" s="22" t="s">
        <v>811</v>
      </c>
      <c r="B227" s="22" t="s">
        <v>350</v>
      </c>
      <c r="C227" s="22" t="s">
        <v>812</v>
      </c>
      <c r="D227" s="22"/>
      <c r="E227" s="22">
        <v>609571</v>
      </c>
    </row>
    <row r="228" spans="1:5" x14ac:dyDescent="0.25">
      <c r="A228" s="22" t="s">
        <v>283</v>
      </c>
      <c r="B228" s="22" t="s">
        <v>350</v>
      </c>
      <c r="C228" s="22" t="s">
        <v>813</v>
      </c>
      <c r="D228" s="22" t="s">
        <v>814</v>
      </c>
      <c r="E228" s="22">
        <v>578128</v>
      </c>
    </row>
    <row r="229" spans="1:5" x14ac:dyDescent="0.25">
      <c r="A229" s="22" t="s">
        <v>815</v>
      </c>
      <c r="B229" s="22" t="s">
        <v>350</v>
      </c>
      <c r="C229" s="22" t="s">
        <v>816</v>
      </c>
      <c r="D229" s="22" t="s">
        <v>814</v>
      </c>
      <c r="E229" s="22">
        <v>578128</v>
      </c>
    </row>
    <row r="230" spans="1:5" x14ac:dyDescent="0.25">
      <c r="A230" s="22" t="s">
        <v>817</v>
      </c>
      <c r="B230" s="22" t="s">
        <v>350</v>
      </c>
      <c r="C230" s="22" t="s">
        <v>818</v>
      </c>
      <c r="D230" s="22"/>
      <c r="E230" s="22">
        <v>274711</v>
      </c>
    </row>
    <row r="231" spans="1:5" x14ac:dyDescent="0.25">
      <c r="A231" s="22" t="s">
        <v>819</v>
      </c>
      <c r="B231" s="22" t="s">
        <v>350</v>
      </c>
      <c r="C231" s="22" t="s">
        <v>820</v>
      </c>
      <c r="D231" s="22"/>
      <c r="E231" s="22">
        <v>274711</v>
      </c>
    </row>
    <row r="232" spans="1:5" x14ac:dyDescent="0.25">
      <c r="A232" s="22" t="s">
        <v>821</v>
      </c>
      <c r="B232" s="22" t="s">
        <v>350</v>
      </c>
      <c r="C232" s="22" t="s">
        <v>822</v>
      </c>
      <c r="D232" s="22"/>
      <c r="E232" s="22">
        <v>296283</v>
      </c>
    </row>
    <row r="233" spans="1:5" x14ac:dyDescent="0.25">
      <c r="A233" s="22" t="s">
        <v>823</v>
      </c>
      <c r="B233" s="22" t="s">
        <v>350</v>
      </c>
      <c r="C233" s="22" t="s">
        <v>824</v>
      </c>
      <c r="D233" s="22"/>
      <c r="E233" s="22">
        <v>274711</v>
      </c>
    </row>
    <row r="234" spans="1:5" x14ac:dyDescent="0.25">
      <c r="A234" s="22" t="s">
        <v>825</v>
      </c>
      <c r="B234" s="22" t="s">
        <v>826</v>
      </c>
      <c r="C234" s="22" t="s">
        <v>827</v>
      </c>
      <c r="D234" s="22"/>
      <c r="E234" s="22">
        <v>158262</v>
      </c>
    </row>
    <row r="235" spans="1:5" x14ac:dyDescent="0.25">
      <c r="A235" s="22" t="s">
        <v>828</v>
      </c>
      <c r="B235" s="22" t="s">
        <v>826</v>
      </c>
      <c r="C235" s="22" t="s">
        <v>829</v>
      </c>
      <c r="D235" s="22"/>
      <c r="E235" s="22">
        <v>196662</v>
      </c>
    </row>
    <row r="236" spans="1:5" x14ac:dyDescent="0.25">
      <c r="A236" s="22" t="s">
        <v>830</v>
      </c>
      <c r="B236" s="22" t="s">
        <v>826</v>
      </c>
      <c r="C236" s="22" t="s">
        <v>831</v>
      </c>
      <c r="D236" s="22"/>
      <c r="E236" s="22">
        <v>589878</v>
      </c>
    </row>
    <row r="237" spans="1:5" x14ac:dyDescent="0.25">
      <c r="A237" s="22" t="s">
        <v>832</v>
      </c>
      <c r="B237" s="22" t="s">
        <v>826</v>
      </c>
      <c r="C237" s="22" t="s">
        <v>833</v>
      </c>
      <c r="D237" s="22"/>
      <c r="E237" s="22">
        <v>49206</v>
      </c>
    </row>
    <row r="238" spans="1:5" x14ac:dyDescent="0.25">
      <c r="A238" s="22" t="s">
        <v>834</v>
      </c>
      <c r="B238" s="22" t="s">
        <v>826</v>
      </c>
      <c r="C238" s="22" t="s">
        <v>835</v>
      </c>
      <c r="D238" s="22"/>
      <c r="E238" s="22">
        <v>49206</v>
      </c>
    </row>
    <row r="239" spans="1:5" x14ac:dyDescent="0.25">
      <c r="A239" s="22" t="s">
        <v>836</v>
      </c>
      <c r="B239" s="22" t="s">
        <v>826</v>
      </c>
      <c r="C239" s="22" t="s">
        <v>837</v>
      </c>
      <c r="D239" s="22"/>
      <c r="E239" s="22">
        <v>49206</v>
      </c>
    </row>
    <row r="240" spans="1:5" x14ac:dyDescent="0.25">
      <c r="A240" s="22" t="s">
        <v>838</v>
      </c>
      <c r="B240" s="22" t="s">
        <v>826</v>
      </c>
      <c r="C240" s="22" t="s">
        <v>839</v>
      </c>
      <c r="D240" s="22"/>
      <c r="E240" s="22">
        <v>49206</v>
      </c>
    </row>
    <row r="241" spans="1:5" x14ac:dyDescent="0.25">
      <c r="A241" s="22" t="s">
        <v>840</v>
      </c>
      <c r="B241" s="22" t="s">
        <v>826</v>
      </c>
      <c r="C241" s="22" t="s">
        <v>841</v>
      </c>
      <c r="D241" s="22"/>
      <c r="E241" s="22">
        <v>393270</v>
      </c>
    </row>
    <row r="242" spans="1:5" x14ac:dyDescent="0.25">
      <c r="A242" s="22" t="s">
        <v>842</v>
      </c>
      <c r="B242" s="22" t="s">
        <v>826</v>
      </c>
      <c r="C242" s="22" t="s">
        <v>843</v>
      </c>
      <c r="D242" s="22"/>
      <c r="E242" s="22">
        <v>786486</v>
      </c>
    </row>
    <row r="243" spans="1:5" x14ac:dyDescent="0.25">
      <c r="A243" s="22" t="s">
        <v>844</v>
      </c>
      <c r="B243" s="22" t="s">
        <v>826</v>
      </c>
      <c r="C243" s="22" t="s">
        <v>845</v>
      </c>
      <c r="D243" s="22"/>
      <c r="E243" s="22">
        <v>786486</v>
      </c>
    </row>
    <row r="244" spans="1:5" x14ac:dyDescent="0.25">
      <c r="A244" s="22" t="s">
        <v>846</v>
      </c>
      <c r="B244" s="22" t="s">
        <v>826</v>
      </c>
      <c r="C244" s="22" t="s">
        <v>847</v>
      </c>
      <c r="D244" s="22"/>
      <c r="E244" s="22">
        <v>1769526</v>
      </c>
    </row>
    <row r="245" spans="1:5" x14ac:dyDescent="0.25">
      <c r="A245" s="22" t="s">
        <v>848</v>
      </c>
      <c r="B245" s="22" t="s">
        <v>826</v>
      </c>
      <c r="C245" s="22" t="s">
        <v>849</v>
      </c>
      <c r="D245" s="22"/>
      <c r="E245" s="22">
        <v>34554</v>
      </c>
    </row>
    <row r="246" spans="1:5" x14ac:dyDescent="0.25">
      <c r="A246" s="22" t="s">
        <v>850</v>
      </c>
      <c r="B246" s="22" t="s">
        <v>826</v>
      </c>
      <c r="C246" s="22" t="s">
        <v>851</v>
      </c>
      <c r="D246" s="22"/>
      <c r="E246" s="22">
        <v>91894</v>
      </c>
    </row>
    <row r="247" spans="1:5" x14ac:dyDescent="0.25">
      <c r="A247" s="22" t="s">
        <v>852</v>
      </c>
      <c r="B247" s="22" t="s">
        <v>826</v>
      </c>
      <c r="C247" s="22" t="s">
        <v>853</v>
      </c>
      <c r="D247" s="22"/>
      <c r="E247" s="22">
        <v>92790</v>
      </c>
    </row>
    <row r="248" spans="1:5" x14ac:dyDescent="0.25">
      <c r="A248" s="22" t="s">
        <v>854</v>
      </c>
      <c r="B248" s="22" t="s">
        <v>826</v>
      </c>
      <c r="C248" s="22" t="s">
        <v>855</v>
      </c>
      <c r="D248" s="22"/>
      <c r="E248" s="22">
        <v>49206</v>
      </c>
    </row>
    <row r="249" spans="1:5" x14ac:dyDescent="0.25">
      <c r="A249" s="22" t="s">
        <v>352</v>
      </c>
      <c r="B249" s="22" t="s">
        <v>826</v>
      </c>
      <c r="C249" s="22" t="s">
        <v>856</v>
      </c>
      <c r="D249" s="22"/>
      <c r="E249" s="22">
        <v>786486</v>
      </c>
    </row>
    <row r="250" spans="1:5" x14ac:dyDescent="0.25">
      <c r="A250" s="22" t="s">
        <v>354</v>
      </c>
      <c r="B250" s="22" t="s">
        <v>826</v>
      </c>
      <c r="C250" s="22" t="s">
        <v>857</v>
      </c>
      <c r="D250" s="22"/>
      <c r="E250" s="22">
        <v>786486</v>
      </c>
    </row>
    <row r="251" spans="1:5" x14ac:dyDescent="0.25">
      <c r="A251" s="22" t="s">
        <v>362</v>
      </c>
      <c r="B251" s="22" t="s">
        <v>826</v>
      </c>
      <c r="C251" s="22" t="s">
        <v>858</v>
      </c>
      <c r="D251" s="22"/>
      <c r="E251" s="22">
        <v>158262</v>
      </c>
    </row>
    <row r="252" spans="1:5" x14ac:dyDescent="0.25">
      <c r="A252" s="22" t="s">
        <v>367</v>
      </c>
      <c r="B252" s="22" t="s">
        <v>826</v>
      </c>
      <c r="C252" s="22" t="s">
        <v>859</v>
      </c>
      <c r="D252" s="22"/>
      <c r="E252" s="22">
        <v>158262</v>
      </c>
    </row>
    <row r="253" spans="1:5" x14ac:dyDescent="0.25">
      <c r="A253" s="22" t="s">
        <v>372</v>
      </c>
      <c r="B253" s="22" t="s">
        <v>826</v>
      </c>
      <c r="C253" s="22" t="s">
        <v>860</v>
      </c>
      <c r="D253" s="22"/>
      <c r="E253" s="22">
        <v>786486</v>
      </c>
    </row>
    <row r="254" spans="1:5" x14ac:dyDescent="0.25">
      <c r="A254" s="22" t="s">
        <v>377</v>
      </c>
      <c r="B254" s="22" t="s">
        <v>826</v>
      </c>
      <c r="C254" s="22" t="s">
        <v>861</v>
      </c>
      <c r="D254" s="22"/>
      <c r="E254" s="22">
        <v>786486</v>
      </c>
    </row>
    <row r="255" spans="1:5" x14ac:dyDescent="0.25">
      <c r="A255" s="22" t="s">
        <v>382</v>
      </c>
      <c r="B255" s="22" t="s">
        <v>826</v>
      </c>
      <c r="C255" s="22" t="s">
        <v>862</v>
      </c>
      <c r="D255" s="22"/>
      <c r="E255" s="22">
        <v>786486</v>
      </c>
    </row>
    <row r="256" spans="1:5" x14ac:dyDescent="0.25">
      <c r="A256" s="22" t="s">
        <v>387</v>
      </c>
      <c r="B256" s="22" t="s">
        <v>826</v>
      </c>
      <c r="C256" s="22" t="s">
        <v>863</v>
      </c>
      <c r="D256" s="22"/>
      <c r="E256" s="22">
        <v>786486</v>
      </c>
    </row>
    <row r="257" spans="1:5" x14ac:dyDescent="0.25">
      <c r="A257" s="22" t="s">
        <v>392</v>
      </c>
      <c r="B257" s="22" t="s">
        <v>826</v>
      </c>
      <c r="C257" s="22" t="s">
        <v>864</v>
      </c>
      <c r="D257" s="22"/>
      <c r="E257" s="22">
        <v>196662</v>
      </c>
    </row>
    <row r="258" spans="1:5" x14ac:dyDescent="0.25">
      <c r="A258" s="22" t="s">
        <v>397</v>
      </c>
      <c r="B258" s="22" t="s">
        <v>826</v>
      </c>
      <c r="C258" s="22" t="s">
        <v>865</v>
      </c>
      <c r="D258" s="22"/>
      <c r="E258" s="22">
        <v>196662</v>
      </c>
    </row>
    <row r="259" spans="1:5" x14ac:dyDescent="0.25">
      <c r="A259" s="22" t="s">
        <v>402</v>
      </c>
      <c r="B259" s="22" t="s">
        <v>826</v>
      </c>
      <c r="C259" s="22" t="s">
        <v>866</v>
      </c>
      <c r="D259" s="22"/>
      <c r="E259" s="22">
        <v>89142</v>
      </c>
    </row>
    <row r="260" spans="1:5" x14ac:dyDescent="0.25">
      <c r="A260" s="22" t="s">
        <v>407</v>
      </c>
      <c r="B260" s="22" t="s">
        <v>826</v>
      </c>
      <c r="C260" s="22" t="s">
        <v>867</v>
      </c>
      <c r="D260" s="22"/>
      <c r="E260" s="22">
        <v>98358</v>
      </c>
    </row>
    <row r="261" spans="1:5" x14ac:dyDescent="0.25">
      <c r="A261" s="22" t="s">
        <v>411</v>
      </c>
      <c r="B261" s="22" t="s">
        <v>826</v>
      </c>
      <c r="C261" s="22" t="s">
        <v>868</v>
      </c>
      <c r="D261" s="22"/>
      <c r="E261" s="22">
        <v>196662</v>
      </c>
    </row>
    <row r="262" spans="1:5" x14ac:dyDescent="0.25">
      <c r="A262" s="22" t="s">
        <v>416</v>
      </c>
      <c r="B262" s="22" t="s">
        <v>826</v>
      </c>
      <c r="C262" s="22" t="s">
        <v>869</v>
      </c>
      <c r="D262" s="22"/>
      <c r="E262" s="22">
        <v>393270</v>
      </c>
    </row>
    <row r="263" spans="1:5" x14ac:dyDescent="0.25">
      <c r="A263" s="22" t="s">
        <v>421</v>
      </c>
      <c r="B263" s="22" t="s">
        <v>826</v>
      </c>
      <c r="C263" s="22" t="s">
        <v>870</v>
      </c>
      <c r="D263" s="22"/>
      <c r="E263" s="22">
        <v>393270</v>
      </c>
    </row>
    <row r="264" spans="1:5" x14ac:dyDescent="0.25">
      <c r="A264" s="22" t="s">
        <v>426</v>
      </c>
      <c r="B264" s="22" t="s">
        <v>826</v>
      </c>
      <c r="C264" s="22" t="s">
        <v>871</v>
      </c>
      <c r="D264" s="22"/>
      <c r="E264" s="22">
        <v>589878</v>
      </c>
    </row>
    <row r="265" spans="1:5" x14ac:dyDescent="0.25">
      <c r="A265" s="22" t="s">
        <v>431</v>
      </c>
      <c r="B265" s="22" t="s">
        <v>826</v>
      </c>
      <c r="C265" s="22" t="s">
        <v>872</v>
      </c>
      <c r="D265" s="22"/>
      <c r="E265" s="22">
        <v>786486</v>
      </c>
    </row>
    <row r="266" spans="1:5" x14ac:dyDescent="0.25">
      <c r="A266" s="22" t="s">
        <v>436</v>
      </c>
      <c r="B266" s="22" t="s">
        <v>826</v>
      </c>
      <c r="C266" s="22" t="s">
        <v>873</v>
      </c>
      <c r="D266" s="22"/>
      <c r="E266" s="22">
        <v>393270</v>
      </c>
    </row>
    <row r="267" spans="1:5" x14ac:dyDescent="0.25">
      <c r="A267" s="22" t="s">
        <v>439</v>
      </c>
      <c r="B267" s="22" t="s">
        <v>826</v>
      </c>
      <c r="C267" s="22" t="s">
        <v>874</v>
      </c>
      <c r="D267" s="22"/>
      <c r="E267" s="22">
        <v>196662</v>
      </c>
    </row>
    <row r="268" spans="1:5" x14ac:dyDescent="0.25">
      <c r="A268" s="22" t="s">
        <v>225</v>
      </c>
      <c r="B268" s="22" t="s">
        <v>826</v>
      </c>
      <c r="C268" s="22" t="s">
        <v>875</v>
      </c>
      <c r="D268" s="22"/>
      <c r="E268" s="22">
        <v>786486</v>
      </c>
    </row>
    <row r="269" spans="1:5" ht="30" x14ac:dyDescent="0.25">
      <c r="A269" s="22" t="s">
        <v>876</v>
      </c>
      <c r="B269" s="22" t="s">
        <v>826</v>
      </c>
      <c r="C269" s="22" t="s">
        <v>877</v>
      </c>
      <c r="D269" s="22"/>
      <c r="E269" s="22">
        <v>49206</v>
      </c>
    </row>
    <row r="270" spans="1:5" ht="30" x14ac:dyDescent="0.25">
      <c r="A270" s="22" t="s">
        <v>878</v>
      </c>
      <c r="B270" s="22" t="s">
        <v>826</v>
      </c>
      <c r="C270" s="22" t="s">
        <v>879</v>
      </c>
      <c r="D270" s="22"/>
      <c r="E270" s="22">
        <v>49206</v>
      </c>
    </row>
    <row r="271" spans="1:5" ht="30" x14ac:dyDescent="0.25">
      <c r="A271" s="22" t="s">
        <v>880</v>
      </c>
      <c r="B271" s="22" t="s">
        <v>826</v>
      </c>
      <c r="C271" s="22" t="s">
        <v>881</v>
      </c>
      <c r="D271" s="22"/>
      <c r="E271" s="22">
        <v>196662</v>
      </c>
    </row>
    <row r="272" spans="1:5" x14ac:dyDescent="0.25">
      <c r="A272" s="22" t="s">
        <v>882</v>
      </c>
      <c r="B272" s="22" t="s">
        <v>826</v>
      </c>
      <c r="C272" s="22" t="s">
        <v>883</v>
      </c>
      <c r="D272" s="22"/>
      <c r="E272" s="22">
        <v>49206</v>
      </c>
    </row>
    <row r="273" spans="1:5" x14ac:dyDescent="0.25">
      <c r="A273" s="22" t="s">
        <v>884</v>
      </c>
      <c r="B273" s="22" t="s">
        <v>826</v>
      </c>
      <c r="C273" s="22" t="s">
        <v>885</v>
      </c>
      <c r="D273" s="22"/>
      <c r="E273" s="22">
        <v>1769526</v>
      </c>
    </row>
    <row r="274" spans="1:5" x14ac:dyDescent="0.25">
      <c r="A274" s="22" t="s">
        <v>886</v>
      </c>
      <c r="B274" s="22" t="s">
        <v>826</v>
      </c>
      <c r="C274" s="22" t="s">
        <v>887</v>
      </c>
      <c r="D274" s="22"/>
      <c r="E274" s="22">
        <v>1769526</v>
      </c>
    </row>
    <row r="275" spans="1:5" x14ac:dyDescent="0.25">
      <c r="A275" s="22" t="s">
        <v>888</v>
      </c>
      <c r="B275" s="22" t="s">
        <v>826</v>
      </c>
      <c r="C275" s="22" t="s">
        <v>889</v>
      </c>
      <c r="D275" s="22"/>
      <c r="E275" s="22">
        <v>1769526</v>
      </c>
    </row>
    <row r="276" spans="1:5" x14ac:dyDescent="0.25">
      <c r="A276" s="22" t="s">
        <v>890</v>
      </c>
      <c r="B276" s="22" t="s">
        <v>826</v>
      </c>
      <c r="C276" s="22" t="s">
        <v>891</v>
      </c>
      <c r="D276" s="22"/>
      <c r="E276" s="22">
        <v>1769526</v>
      </c>
    </row>
    <row r="277" spans="1:5" x14ac:dyDescent="0.25">
      <c r="A277" s="22" t="s">
        <v>479</v>
      </c>
      <c r="B277" s="22" t="s">
        <v>826</v>
      </c>
      <c r="C277" s="22" t="s">
        <v>892</v>
      </c>
      <c r="D277" s="22"/>
      <c r="E277" s="22">
        <v>589878</v>
      </c>
    </row>
    <row r="278" spans="1:5" x14ac:dyDescent="0.25">
      <c r="A278" s="22" t="s">
        <v>487</v>
      </c>
      <c r="B278" s="22" t="s">
        <v>826</v>
      </c>
      <c r="C278" s="22" t="s">
        <v>893</v>
      </c>
      <c r="D278" s="22"/>
      <c r="E278" s="22">
        <v>589878</v>
      </c>
    </row>
    <row r="279" spans="1:5" x14ac:dyDescent="0.25">
      <c r="A279" s="22" t="s">
        <v>495</v>
      </c>
      <c r="B279" s="22" t="s">
        <v>826</v>
      </c>
      <c r="C279" s="22" t="s">
        <v>894</v>
      </c>
      <c r="D279" s="22"/>
      <c r="E279" s="22">
        <v>589878</v>
      </c>
    </row>
    <row r="280" spans="1:5" x14ac:dyDescent="0.25">
      <c r="A280" s="22" t="s">
        <v>503</v>
      </c>
      <c r="B280" s="22" t="s">
        <v>826</v>
      </c>
      <c r="C280" s="22" t="s">
        <v>895</v>
      </c>
      <c r="D280" s="22"/>
      <c r="E280" s="22">
        <v>589878</v>
      </c>
    </row>
    <row r="281" spans="1:5" x14ac:dyDescent="0.25">
      <c r="A281" s="22" t="s">
        <v>507</v>
      </c>
      <c r="B281" s="22" t="s">
        <v>826</v>
      </c>
      <c r="C281" s="22" t="s">
        <v>896</v>
      </c>
      <c r="D281" s="22"/>
      <c r="E281" s="22">
        <v>98358</v>
      </c>
    </row>
    <row r="282" spans="1:5" x14ac:dyDescent="0.25">
      <c r="A282" s="22" t="s">
        <v>511</v>
      </c>
      <c r="B282" s="22" t="s">
        <v>826</v>
      </c>
      <c r="C282" s="22" t="s">
        <v>897</v>
      </c>
      <c r="D282" s="22"/>
      <c r="E282" s="22">
        <v>786486</v>
      </c>
    </row>
    <row r="283" spans="1:5" x14ac:dyDescent="0.25">
      <c r="A283" s="22" t="s">
        <v>515</v>
      </c>
      <c r="B283" s="22" t="s">
        <v>826</v>
      </c>
      <c r="C283" s="22" t="s">
        <v>898</v>
      </c>
      <c r="D283" s="22"/>
      <c r="E283" s="22">
        <v>786486</v>
      </c>
    </row>
    <row r="284" spans="1:5" x14ac:dyDescent="0.25">
      <c r="A284" s="22" t="s">
        <v>519</v>
      </c>
      <c r="B284" s="22" t="s">
        <v>826</v>
      </c>
      <c r="C284" s="22" t="s">
        <v>899</v>
      </c>
      <c r="D284" s="22"/>
      <c r="E284" s="22">
        <v>196662</v>
      </c>
    </row>
    <row r="285" spans="1:5" x14ac:dyDescent="0.25">
      <c r="A285" s="22" t="s">
        <v>527</v>
      </c>
      <c r="B285" s="22" t="s">
        <v>826</v>
      </c>
      <c r="C285" s="22" t="s">
        <v>900</v>
      </c>
      <c r="D285" s="22"/>
      <c r="E285" s="22">
        <v>589878</v>
      </c>
    </row>
    <row r="286" spans="1:5" x14ac:dyDescent="0.25">
      <c r="A286" s="22" t="s">
        <v>531</v>
      </c>
      <c r="B286" s="22" t="s">
        <v>826</v>
      </c>
      <c r="C286" s="22" t="s">
        <v>901</v>
      </c>
      <c r="D286" s="22"/>
      <c r="E286" s="22">
        <v>196662</v>
      </c>
    </row>
    <row r="287" spans="1:5" x14ac:dyDescent="0.25">
      <c r="A287" s="22" t="s">
        <v>543</v>
      </c>
      <c r="B287" s="22" t="s">
        <v>826</v>
      </c>
      <c r="C287" s="22" t="s">
        <v>902</v>
      </c>
      <c r="D287" s="22"/>
      <c r="E287" s="22">
        <v>196662</v>
      </c>
    </row>
    <row r="288" spans="1:5" x14ac:dyDescent="0.25">
      <c r="A288" s="22" t="s">
        <v>548</v>
      </c>
      <c r="B288" s="22" t="s">
        <v>826</v>
      </c>
      <c r="C288" s="22" t="s">
        <v>903</v>
      </c>
      <c r="D288" s="22"/>
      <c r="E288" s="22">
        <v>393270</v>
      </c>
    </row>
    <row r="289" spans="1:5" x14ac:dyDescent="0.25">
      <c r="A289" s="22" t="s">
        <v>551</v>
      </c>
      <c r="B289" s="22" t="s">
        <v>826</v>
      </c>
      <c r="C289" s="22" t="s">
        <v>904</v>
      </c>
      <c r="D289" s="22"/>
      <c r="E289" s="22">
        <v>393270</v>
      </c>
    </row>
    <row r="290" spans="1:5" x14ac:dyDescent="0.25">
      <c r="A290" s="22" t="s">
        <v>555</v>
      </c>
      <c r="B290" s="22" t="s">
        <v>826</v>
      </c>
      <c r="C290" s="22" t="s">
        <v>905</v>
      </c>
      <c r="D290" s="22"/>
      <c r="E290" s="22">
        <v>393270</v>
      </c>
    </row>
    <row r="291" spans="1:5" x14ac:dyDescent="0.25">
      <c r="A291" s="22" t="s">
        <v>559</v>
      </c>
      <c r="B291" s="22" t="s">
        <v>826</v>
      </c>
      <c r="C291" s="22" t="s">
        <v>906</v>
      </c>
      <c r="D291" s="22"/>
      <c r="E291" s="22">
        <v>393270</v>
      </c>
    </row>
    <row r="292" spans="1:5" x14ac:dyDescent="0.25">
      <c r="A292" s="22" t="s">
        <v>564</v>
      </c>
      <c r="B292" s="22" t="s">
        <v>826</v>
      </c>
      <c r="C292" s="22" t="s">
        <v>907</v>
      </c>
      <c r="D292" s="22"/>
      <c r="E292" s="22">
        <v>786486</v>
      </c>
    </row>
    <row r="293" spans="1:5" x14ac:dyDescent="0.25">
      <c r="A293" s="22" t="s">
        <v>566</v>
      </c>
      <c r="B293" s="22" t="s">
        <v>826</v>
      </c>
      <c r="C293" s="22" t="s">
        <v>908</v>
      </c>
      <c r="D293" s="22"/>
      <c r="E293" s="22">
        <v>786486</v>
      </c>
    </row>
    <row r="294" spans="1:5" x14ac:dyDescent="0.25">
      <c r="A294" s="22" t="s">
        <v>909</v>
      </c>
      <c r="B294" s="22" t="s">
        <v>826</v>
      </c>
      <c r="C294" s="22" t="s">
        <v>910</v>
      </c>
      <c r="D294" s="22"/>
      <c r="E294" s="22">
        <v>393270</v>
      </c>
    </row>
    <row r="295" spans="1:5" x14ac:dyDescent="0.25">
      <c r="A295" s="22" t="s">
        <v>582</v>
      </c>
      <c r="B295" s="22" t="s">
        <v>826</v>
      </c>
      <c r="C295" s="22" t="s">
        <v>911</v>
      </c>
      <c r="D295" s="22"/>
      <c r="E295" s="22">
        <v>98358</v>
      </c>
    </row>
    <row r="296" spans="1:5" x14ac:dyDescent="0.25">
      <c r="A296" s="22" t="s">
        <v>590</v>
      </c>
      <c r="B296" s="22" t="s">
        <v>826</v>
      </c>
      <c r="C296" s="22" t="s">
        <v>912</v>
      </c>
      <c r="D296" s="22"/>
      <c r="E296" s="22">
        <v>196662</v>
      </c>
    </row>
    <row r="297" spans="1:5" x14ac:dyDescent="0.25">
      <c r="A297" s="22" t="s">
        <v>594</v>
      </c>
      <c r="B297" s="22" t="s">
        <v>826</v>
      </c>
      <c r="C297" s="22" t="s">
        <v>913</v>
      </c>
      <c r="D297" s="22"/>
      <c r="E297" s="22">
        <v>196662</v>
      </c>
    </row>
    <row r="298" spans="1:5" x14ac:dyDescent="0.25">
      <c r="A298" s="22" t="s">
        <v>602</v>
      </c>
      <c r="B298" s="22" t="s">
        <v>826</v>
      </c>
      <c r="C298" s="22" t="s">
        <v>914</v>
      </c>
      <c r="D298" s="22"/>
      <c r="E298" s="22">
        <v>158262</v>
      </c>
    </row>
    <row r="299" spans="1:5" x14ac:dyDescent="0.25">
      <c r="A299" s="22" t="s">
        <v>606</v>
      </c>
      <c r="B299" s="22" t="s">
        <v>826</v>
      </c>
      <c r="C299" s="22" t="s">
        <v>915</v>
      </c>
      <c r="D299" s="22"/>
      <c r="E299" s="22">
        <v>158262</v>
      </c>
    </row>
    <row r="300" spans="1:5" x14ac:dyDescent="0.25">
      <c r="A300" s="22" t="s">
        <v>612</v>
      </c>
      <c r="B300" s="22" t="s">
        <v>826</v>
      </c>
      <c r="C300" s="22" t="s">
        <v>916</v>
      </c>
      <c r="D300" s="22"/>
      <c r="E300" s="22">
        <v>1769526</v>
      </c>
    </row>
    <row r="301" spans="1:5" x14ac:dyDescent="0.25">
      <c r="A301" s="22" t="s">
        <v>616</v>
      </c>
      <c r="B301" s="22" t="s">
        <v>826</v>
      </c>
      <c r="C301" s="22" t="s">
        <v>917</v>
      </c>
      <c r="D301" s="22"/>
      <c r="E301" s="22">
        <v>1769526</v>
      </c>
    </row>
    <row r="302" spans="1:5" x14ac:dyDescent="0.25">
      <c r="A302" s="22" t="s">
        <v>620</v>
      </c>
      <c r="B302" s="22" t="s">
        <v>826</v>
      </c>
      <c r="C302" s="22" t="s">
        <v>918</v>
      </c>
      <c r="D302" s="22"/>
      <c r="E302" s="22">
        <v>786486</v>
      </c>
    </row>
    <row r="303" spans="1:5" x14ac:dyDescent="0.25">
      <c r="A303" s="22" t="s">
        <v>624</v>
      </c>
      <c r="B303" s="22" t="s">
        <v>826</v>
      </c>
      <c r="C303" s="22" t="s">
        <v>919</v>
      </c>
      <c r="D303" s="22"/>
      <c r="E303" s="22">
        <v>786486</v>
      </c>
    </row>
    <row r="304" spans="1:5" x14ac:dyDescent="0.25">
      <c r="A304" s="22" t="s">
        <v>22</v>
      </c>
      <c r="B304" s="22" t="s">
        <v>826</v>
      </c>
      <c r="C304" s="22" t="s">
        <v>920</v>
      </c>
      <c r="D304" s="22"/>
      <c r="E304" s="22">
        <v>393270</v>
      </c>
    </row>
    <row r="305" spans="1:5" x14ac:dyDescent="0.25">
      <c r="A305" s="22" t="s">
        <v>921</v>
      </c>
      <c r="B305" s="22" t="s">
        <v>826</v>
      </c>
      <c r="C305" s="22" t="s">
        <v>922</v>
      </c>
      <c r="D305" s="22"/>
      <c r="E305" s="22">
        <v>393270</v>
      </c>
    </row>
    <row r="306" spans="1:5" x14ac:dyDescent="0.25">
      <c r="A306" s="22" t="s">
        <v>641</v>
      </c>
      <c r="B306" s="22" t="s">
        <v>826</v>
      </c>
      <c r="C306" s="22" t="s">
        <v>923</v>
      </c>
      <c r="D306" s="22"/>
      <c r="E306" s="22">
        <v>786486</v>
      </c>
    </row>
    <row r="307" spans="1:5" x14ac:dyDescent="0.25">
      <c r="A307" s="22" t="s">
        <v>924</v>
      </c>
      <c r="B307" s="22" t="s">
        <v>826</v>
      </c>
      <c r="C307" s="22" t="s">
        <v>925</v>
      </c>
      <c r="D307" s="22"/>
      <c r="E307" s="22">
        <v>786486</v>
      </c>
    </row>
    <row r="308" spans="1:5" x14ac:dyDescent="0.25">
      <c r="A308" s="22" t="s">
        <v>648</v>
      </c>
      <c r="B308" s="22" t="s">
        <v>826</v>
      </c>
      <c r="C308" s="22" t="s">
        <v>926</v>
      </c>
      <c r="D308" s="22"/>
      <c r="E308" s="22">
        <v>196662</v>
      </c>
    </row>
    <row r="309" spans="1:5" x14ac:dyDescent="0.25">
      <c r="A309" s="22" t="s">
        <v>927</v>
      </c>
      <c r="B309" s="22" t="s">
        <v>826</v>
      </c>
      <c r="C309" s="22" t="s">
        <v>928</v>
      </c>
      <c r="D309" s="22"/>
      <c r="E309" s="22">
        <v>42894</v>
      </c>
    </row>
    <row r="310" spans="1:5" x14ac:dyDescent="0.25">
      <c r="A310" s="22" t="s">
        <v>663</v>
      </c>
      <c r="B310" s="22" t="s">
        <v>826</v>
      </c>
      <c r="C310" s="22" t="s">
        <v>929</v>
      </c>
      <c r="D310" s="22"/>
      <c r="E310" s="22">
        <v>786486</v>
      </c>
    </row>
    <row r="311" spans="1:5" x14ac:dyDescent="0.25">
      <c r="A311" s="22" t="s">
        <v>930</v>
      </c>
      <c r="B311" s="22" t="s">
        <v>826</v>
      </c>
      <c r="C311" s="22" t="s">
        <v>931</v>
      </c>
      <c r="D311" s="22"/>
      <c r="E311" s="22">
        <v>238110</v>
      </c>
    </row>
    <row r="312" spans="1:5" x14ac:dyDescent="0.25">
      <c r="A312" s="22" t="s">
        <v>669</v>
      </c>
      <c r="B312" s="22" t="s">
        <v>826</v>
      </c>
      <c r="C312" s="22" t="s">
        <v>932</v>
      </c>
      <c r="D312" s="22"/>
      <c r="E312" s="22">
        <v>393270</v>
      </c>
    </row>
    <row r="313" spans="1:5" x14ac:dyDescent="0.25">
      <c r="A313" s="22" t="s">
        <v>933</v>
      </c>
      <c r="B313" s="22" t="s">
        <v>826</v>
      </c>
      <c r="C313" s="22" t="s">
        <v>934</v>
      </c>
      <c r="D313" s="22"/>
      <c r="E313" s="22">
        <v>186846</v>
      </c>
    </row>
    <row r="314" spans="1:5" x14ac:dyDescent="0.25">
      <c r="A314" s="22" t="s">
        <v>671</v>
      </c>
      <c r="B314" s="22" t="s">
        <v>826</v>
      </c>
      <c r="C314" s="22" t="s">
        <v>935</v>
      </c>
      <c r="D314" s="22"/>
      <c r="E314" s="22">
        <v>786486</v>
      </c>
    </row>
    <row r="315" spans="1:5" x14ac:dyDescent="0.25">
      <c r="A315" s="22" t="s">
        <v>676</v>
      </c>
      <c r="B315" s="22" t="s">
        <v>826</v>
      </c>
      <c r="C315" s="22" t="s">
        <v>936</v>
      </c>
      <c r="D315" s="22"/>
      <c r="E315" s="22">
        <v>196662</v>
      </c>
    </row>
    <row r="316" spans="1:5" ht="30" x14ac:dyDescent="0.25">
      <c r="A316" s="22" t="s">
        <v>937</v>
      </c>
      <c r="B316" s="22" t="s">
        <v>826</v>
      </c>
      <c r="C316" s="22" t="s">
        <v>938</v>
      </c>
      <c r="D316" s="22"/>
      <c r="E316" s="22">
        <v>49206</v>
      </c>
    </row>
    <row r="317" spans="1:5" x14ac:dyDescent="0.25">
      <c r="A317" s="22" t="s">
        <v>723</v>
      </c>
      <c r="B317" s="22" t="s">
        <v>826</v>
      </c>
      <c r="C317" s="22" t="s">
        <v>939</v>
      </c>
      <c r="D317" s="22"/>
      <c r="E317" s="22">
        <v>786486</v>
      </c>
    </row>
    <row r="318" spans="1:5" x14ac:dyDescent="0.25">
      <c r="A318" s="22" t="s">
        <v>940</v>
      </c>
      <c r="B318" s="22" t="s">
        <v>826</v>
      </c>
      <c r="C318" s="22" t="s">
        <v>941</v>
      </c>
      <c r="D318" s="22"/>
      <c r="E318" s="22">
        <v>786486</v>
      </c>
    </row>
    <row r="319" spans="1:5" x14ac:dyDescent="0.25">
      <c r="A319" s="22" t="s">
        <v>727</v>
      </c>
      <c r="B319" s="22" t="s">
        <v>826</v>
      </c>
      <c r="C319" s="22" t="s">
        <v>942</v>
      </c>
      <c r="D319" s="22"/>
      <c r="E319" s="22">
        <v>786486</v>
      </c>
    </row>
    <row r="320" spans="1:5" x14ac:dyDescent="0.25">
      <c r="A320" s="22" t="s">
        <v>731</v>
      </c>
      <c r="B320" s="22" t="s">
        <v>826</v>
      </c>
      <c r="C320" s="22" t="s">
        <v>943</v>
      </c>
      <c r="D320" s="22"/>
      <c r="E320" s="22">
        <v>786486</v>
      </c>
    </row>
    <row r="321" spans="1:5" x14ac:dyDescent="0.25">
      <c r="A321" s="22" t="s">
        <v>735</v>
      </c>
      <c r="B321" s="22" t="s">
        <v>826</v>
      </c>
      <c r="C321" s="22" t="s">
        <v>944</v>
      </c>
      <c r="D321" s="22"/>
      <c r="E321" s="22">
        <v>786486</v>
      </c>
    </row>
    <row r="322" spans="1:5" x14ac:dyDescent="0.25">
      <c r="A322" s="22" t="s">
        <v>738</v>
      </c>
      <c r="B322" s="22" t="s">
        <v>826</v>
      </c>
      <c r="C322" s="22" t="s">
        <v>945</v>
      </c>
      <c r="D322" s="22"/>
      <c r="E322" s="22">
        <v>89142</v>
      </c>
    </row>
    <row r="323" spans="1:5" x14ac:dyDescent="0.25">
      <c r="A323" s="22" t="s">
        <v>946</v>
      </c>
      <c r="B323" s="22" t="s">
        <v>826</v>
      </c>
      <c r="C323" s="22" t="s">
        <v>947</v>
      </c>
      <c r="D323" s="22"/>
      <c r="E323" s="22">
        <v>393270</v>
      </c>
    </row>
    <row r="324" spans="1:5" x14ac:dyDescent="0.25">
      <c r="A324" s="22" t="s">
        <v>948</v>
      </c>
      <c r="B324" s="22" t="s">
        <v>826</v>
      </c>
      <c r="C324" s="22" t="s">
        <v>949</v>
      </c>
      <c r="D324" s="22"/>
      <c r="E324" s="22">
        <v>393270</v>
      </c>
    </row>
    <row r="325" spans="1:5" x14ac:dyDescent="0.25">
      <c r="A325" s="22" t="s">
        <v>784</v>
      </c>
      <c r="B325" s="22" t="s">
        <v>826</v>
      </c>
      <c r="C325" s="22" t="s">
        <v>950</v>
      </c>
      <c r="D325" s="22"/>
      <c r="E325" s="22">
        <v>393270</v>
      </c>
    </row>
    <row r="326" spans="1:5" x14ac:dyDescent="0.25">
      <c r="A326" s="22" t="s">
        <v>788</v>
      </c>
      <c r="B326" s="22" t="s">
        <v>826</v>
      </c>
      <c r="C326" s="22" t="s">
        <v>951</v>
      </c>
      <c r="D326" s="22"/>
      <c r="E326" s="22">
        <v>393270</v>
      </c>
    </row>
    <row r="327" spans="1:5" x14ac:dyDescent="0.25">
      <c r="A327" s="22" t="s">
        <v>819</v>
      </c>
      <c r="B327" s="22" t="s">
        <v>826</v>
      </c>
      <c r="C327" s="22" t="s">
        <v>952</v>
      </c>
      <c r="D327" s="22"/>
      <c r="E327" s="22">
        <v>786486</v>
      </c>
    </row>
    <row r="328" spans="1:5" x14ac:dyDescent="0.25">
      <c r="A328" s="22" t="s">
        <v>953</v>
      </c>
      <c r="B328" s="22" t="s">
        <v>826</v>
      </c>
      <c r="C328" s="22" t="s">
        <v>954</v>
      </c>
      <c r="D328" s="22"/>
      <c r="E328" s="22">
        <v>3126</v>
      </c>
    </row>
    <row r="329" spans="1:5" x14ac:dyDescent="0.25">
      <c r="A329" s="22" t="s">
        <v>955</v>
      </c>
      <c r="B329" s="22" t="s">
        <v>826</v>
      </c>
      <c r="C329" s="22" t="s">
        <v>956</v>
      </c>
      <c r="D329" s="22"/>
      <c r="E329" s="22">
        <v>49206</v>
      </c>
    </row>
    <row r="330" spans="1:5" x14ac:dyDescent="0.25">
      <c r="A330" s="22" t="s">
        <v>957</v>
      </c>
      <c r="B330" s="22" t="s">
        <v>826</v>
      </c>
      <c r="C330" s="22" t="s">
        <v>958</v>
      </c>
      <c r="D330" s="22"/>
      <c r="E330" s="22">
        <v>49206</v>
      </c>
    </row>
    <row r="331" spans="1:5" x14ac:dyDescent="0.25">
      <c r="A331" s="22" t="s">
        <v>959</v>
      </c>
      <c r="B331" s="22" t="s">
        <v>826</v>
      </c>
      <c r="C331" s="22" t="s">
        <v>960</v>
      </c>
      <c r="D331" s="22"/>
      <c r="E331" s="22">
        <v>102</v>
      </c>
    </row>
    <row r="332" spans="1:5" x14ac:dyDescent="0.25">
      <c r="A332" s="22" t="s">
        <v>961</v>
      </c>
      <c r="B332" s="22" t="s">
        <v>826</v>
      </c>
      <c r="C332" s="22" t="s">
        <v>962</v>
      </c>
      <c r="D332" s="22"/>
      <c r="E332" s="22">
        <v>49206</v>
      </c>
    </row>
    <row r="333" spans="1:5" x14ac:dyDescent="0.25">
      <c r="A333" s="22" t="s">
        <v>963</v>
      </c>
      <c r="B333" s="22" t="s">
        <v>826</v>
      </c>
      <c r="C333" s="22" t="s">
        <v>964</v>
      </c>
      <c r="D333" s="22"/>
      <c r="E333" s="22">
        <v>49206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4"/>
  <sheetViews>
    <sheetView workbookViewId="0"/>
  </sheetViews>
  <sheetFormatPr defaultRowHeight="15" x14ac:dyDescent="0.25"/>
  <cols>
    <col min="1" max="1" width="20" customWidth="1"/>
    <col min="2" max="2" width="26" customWidth="1"/>
    <col min="3" max="3" width="16" customWidth="1"/>
    <col min="4" max="4" width="12" customWidth="1"/>
    <col min="5" max="5" width="58" customWidth="1"/>
  </cols>
  <sheetData>
    <row r="1" spans="1:5" ht="24" customHeight="1" x14ac:dyDescent="0.25">
      <c r="A1" s="27" t="s">
        <v>965</v>
      </c>
      <c r="B1" s="27"/>
      <c r="C1" s="27"/>
      <c r="D1" s="27"/>
      <c r="E1" s="27"/>
    </row>
    <row r="3" spans="1:5" ht="32.1" customHeight="1" x14ac:dyDescent="0.25">
      <c r="A3" s="21" t="s">
        <v>324</v>
      </c>
      <c r="B3" s="21" t="s">
        <v>966</v>
      </c>
      <c r="C3" s="21" t="s">
        <v>967</v>
      </c>
      <c r="D3" s="21" t="s">
        <v>968</v>
      </c>
      <c r="E3" s="21" t="s">
        <v>105</v>
      </c>
    </row>
    <row r="4" spans="1:5" x14ac:dyDescent="0.25">
      <c r="A4" s="22" t="s">
        <v>225</v>
      </c>
      <c r="B4" s="22" t="s">
        <v>226</v>
      </c>
      <c r="C4" s="22" t="s">
        <v>139</v>
      </c>
      <c r="D4" s="22">
        <v>15</v>
      </c>
      <c r="E4" s="22" t="s">
        <v>229</v>
      </c>
    </row>
    <row r="5" spans="1:5" x14ac:dyDescent="0.25">
      <c r="A5" s="22" t="s">
        <v>232</v>
      </c>
      <c r="B5" s="22" t="s">
        <v>233</v>
      </c>
      <c r="C5" s="22" t="s">
        <v>139</v>
      </c>
      <c r="D5" s="22">
        <v>14</v>
      </c>
      <c r="E5" s="22" t="s">
        <v>238</v>
      </c>
    </row>
    <row r="6" spans="1:5" x14ac:dyDescent="0.25">
      <c r="A6" s="22" t="s">
        <v>241</v>
      </c>
      <c r="B6" s="22" t="s">
        <v>243</v>
      </c>
      <c r="C6" s="22" t="s">
        <v>139</v>
      </c>
      <c r="D6" s="22">
        <v>84</v>
      </c>
      <c r="E6" s="22" t="s">
        <v>246</v>
      </c>
    </row>
    <row r="7" spans="1:5" x14ac:dyDescent="0.25">
      <c r="A7" s="22" t="s">
        <v>249</v>
      </c>
      <c r="B7" s="22" t="s">
        <v>243</v>
      </c>
      <c r="C7" s="22" t="s">
        <v>139</v>
      </c>
      <c r="D7" s="22">
        <v>17</v>
      </c>
      <c r="E7" s="22" t="s">
        <v>252</v>
      </c>
    </row>
    <row r="8" spans="1:5" x14ac:dyDescent="0.25">
      <c r="A8" s="22" t="s">
        <v>190</v>
      </c>
      <c r="B8" s="22" t="s">
        <v>256</v>
      </c>
      <c r="C8" s="22" t="s">
        <v>139</v>
      </c>
      <c r="D8" s="22">
        <v>14</v>
      </c>
      <c r="E8" s="22" t="s">
        <v>257</v>
      </c>
    </row>
    <row r="9" spans="1:5" x14ac:dyDescent="0.25">
      <c r="A9" s="22" t="s">
        <v>259</v>
      </c>
      <c r="B9" s="22" t="s">
        <v>260</v>
      </c>
      <c r="C9" s="22" t="s">
        <v>139</v>
      </c>
      <c r="D9" s="22">
        <v>21</v>
      </c>
      <c r="E9" s="22" t="s">
        <v>262</v>
      </c>
    </row>
    <row r="10" spans="1:5" x14ac:dyDescent="0.25">
      <c r="A10" s="22" t="s">
        <v>265</v>
      </c>
      <c r="B10" s="22" t="s">
        <v>260</v>
      </c>
      <c r="C10" s="22" t="s">
        <v>139</v>
      </c>
      <c r="D10" s="22">
        <v>21</v>
      </c>
      <c r="E10" s="22" t="s">
        <v>262</v>
      </c>
    </row>
    <row r="11" spans="1:5" x14ac:dyDescent="0.25">
      <c r="A11" s="22" t="s">
        <v>268</v>
      </c>
      <c r="B11" s="22" t="s">
        <v>269</v>
      </c>
      <c r="C11" s="22" t="s">
        <v>139</v>
      </c>
      <c r="D11" s="22">
        <v>30</v>
      </c>
      <c r="E11" s="22" t="s">
        <v>272</v>
      </c>
    </row>
    <row r="12" spans="1:5" x14ac:dyDescent="0.25">
      <c r="A12" s="22" t="s">
        <v>275</v>
      </c>
      <c r="B12" s="22" t="s">
        <v>269</v>
      </c>
      <c r="C12" s="22" t="s">
        <v>139</v>
      </c>
      <c r="D12" s="22">
        <v>4</v>
      </c>
      <c r="E12" s="22" t="s">
        <v>272</v>
      </c>
    </row>
    <row r="13" spans="1:5" x14ac:dyDescent="0.25">
      <c r="A13" s="22" t="s">
        <v>279</v>
      </c>
      <c r="B13" s="22" t="s">
        <v>269</v>
      </c>
      <c r="C13" s="22" t="s">
        <v>139</v>
      </c>
      <c r="D13" s="22">
        <v>10</v>
      </c>
      <c r="E13" s="22" t="s">
        <v>272</v>
      </c>
    </row>
    <row r="14" spans="1:5" x14ac:dyDescent="0.25">
      <c r="A14" s="22" t="s">
        <v>283</v>
      </c>
      <c r="B14" s="22" t="s">
        <v>284</v>
      </c>
      <c r="C14" s="22" t="s">
        <v>139</v>
      </c>
      <c r="D14" s="22">
        <v>1</v>
      </c>
      <c r="E14" s="22" t="s">
        <v>272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31"/>
  <sheetViews>
    <sheetView workbookViewId="0"/>
  </sheetViews>
  <sheetFormatPr defaultRowHeight="15" x14ac:dyDescent="0.25"/>
  <cols>
    <col min="1" max="2" width="28" customWidth="1"/>
    <col min="3" max="3" width="20" customWidth="1"/>
    <col min="4" max="4" width="14" customWidth="1"/>
    <col min="5" max="5" width="60" customWidth="1"/>
  </cols>
  <sheetData>
    <row r="1" spans="1:5" x14ac:dyDescent="0.25">
      <c r="A1" s="23" t="s">
        <v>969</v>
      </c>
      <c r="B1" s="23" t="s">
        <v>970</v>
      </c>
      <c r="C1" s="23" t="s">
        <v>971</v>
      </c>
      <c r="D1" s="23" t="s">
        <v>348</v>
      </c>
      <c r="E1" s="23" t="s">
        <v>105</v>
      </c>
    </row>
    <row r="2" spans="1:5" x14ac:dyDescent="0.25">
      <c r="A2" t="s">
        <v>972</v>
      </c>
      <c r="B2" t="s">
        <v>351</v>
      </c>
      <c r="C2" t="s">
        <v>349</v>
      </c>
      <c r="D2">
        <v>6631</v>
      </c>
      <c r="E2" s="22" t="s">
        <v>973</v>
      </c>
    </row>
    <row r="3" spans="1:5" x14ac:dyDescent="0.25">
      <c r="A3" t="s">
        <v>974</v>
      </c>
      <c r="B3" t="s">
        <v>353</v>
      </c>
      <c r="C3" t="s">
        <v>352</v>
      </c>
      <c r="D3">
        <v>2670</v>
      </c>
      <c r="E3" s="22" t="s">
        <v>973</v>
      </c>
    </row>
    <row r="4" spans="1:5" x14ac:dyDescent="0.25">
      <c r="A4" t="s">
        <v>975</v>
      </c>
      <c r="B4" t="s">
        <v>355</v>
      </c>
      <c r="C4" t="s">
        <v>354</v>
      </c>
      <c r="D4">
        <v>6605</v>
      </c>
      <c r="E4" s="22" t="s">
        <v>973</v>
      </c>
    </row>
    <row r="5" spans="1:5" x14ac:dyDescent="0.25">
      <c r="A5" t="s">
        <v>976</v>
      </c>
      <c r="B5" t="s">
        <v>358</v>
      </c>
      <c r="C5" t="s">
        <v>357</v>
      </c>
      <c r="D5">
        <v>2606</v>
      </c>
      <c r="E5" s="22" t="s">
        <v>973</v>
      </c>
    </row>
    <row r="6" spans="1:5" x14ac:dyDescent="0.25">
      <c r="A6" t="s">
        <v>977</v>
      </c>
      <c r="B6" t="s">
        <v>360</v>
      </c>
      <c r="C6" t="s">
        <v>359</v>
      </c>
      <c r="D6">
        <v>6520</v>
      </c>
      <c r="E6" s="22" t="s">
        <v>973</v>
      </c>
    </row>
    <row r="7" spans="1:5" x14ac:dyDescent="0.25">
      <c r="A7" t="s">
        <v>978</v>
      </c>
      <c r="B7" t="s">
        <v>363</v>
      </c>
      <c r="C7" t="s">
        <v>362</v>
      </c>
      <c r="D7">
        <v>2641</v>
      </c>
      <c r="E7" s="22" t="s">
        <v>973</v>
      </c>
    </row>
    <row r="8" spans="1:5" x14ac:dyDescent="0.25">
      <c r="A8" t="s">
        <v>979</v>
      </c>
      <c r="B8" t="s">
        <v>365</v>
      </c>
      <c r="C8" t="s">
        <v>364</v>
      </c>
      <c r="D8">
        <v>6471</v>
      </c>
      <c r="E8" s="22" t="s">
        <v>973</v>
      </c>
    </row>
    <row r="9" spans="1:5" x14ac:dyDescent="0.25">
      <c r="A9" t="s">
        <v>980</v>
      </c>
      <c r="B9" t="s">
        <v>368</v>
      </c>
      <c r="C9" t="s">
        <v>367</v>
      </c>
      <c r="D9">
        <v>2622</v>
      </c>
      <c r="E9" s="22" t="s">
        <v>973</v>
      </c>
    </row>
    <row r="10" spans="1:5" x14ac:dyDescent="0.25">
      <c r="A10" t="s">
        <v>981</v>
      </c>
      <c r="B10" t="s">
        <v>370</v>
      </c>
      <c r="C10" t="s">
        <v>369</v>
      </c>
      <c r="D10">
        <v>4164</v>
      </c>
      <c r="E10" s="22" t="s">
        <v>973</v>
      </c>
    </row>
    <row r="11" spans="1:5" x14ac:dyDescent="0.25">
      <c r="A11" t="s">
        <v>982</v>
      </c>
      <c r="B11" t="s">
        <v>373</v>
      </c>
      <c r="C11" t="s">
        <v>372</v>
      </c>
      <c r="D11">
        <v>2045</v>
      </c>
      <c r="E11" s="22" t="s">
        <v>973</v>
      </c>
    </row>
    <row r="12" spans="1:5" x14ac:dyDescent="0.25">
      <c r="A12" t="s">
        <v>983</v>
      </c>
      <c r="B12" t="s">
        <v>375</v>
      </c>
      <c r="C12" t="s">
        <v>374</v>
      </c>
      <c r="D12">
        <v>4178</v>
      </c>
      <c r="E12" s="22" t="s">
        <v>973</v>
      </c>
    </row>
    <row r="13" spans="1:5" x14ac:dyDescent="0.25">
      <c r="A13" t="s">
        <v>984</v>
      </c>
      <c r="B13" t="s">
        <v>378</v>
      </c>
      <c r="C13" t="s">
        <v>377</v>
      </c>
      <c r="D13">
        <v>2046</v>
      </c>
      <c r="E13" s="22" t="s">
        <v>973</v>
      </c>
    </row>
    <row r="14" spans="1:5" x14ac:dyDescent="0.25">
      <c r="A14" t="s">
        <v>985</v>
      </c>
      <c r="B14" t="s">
        <v>380</v>
      </c>
      <c r="C14" t="s">
        <v>379</v>
      </c>
      <c r="D14">
        <v>4134</v>
      </c>
      <c r="E14" s="22" t="s">
        <v>973</v>
      </c>
    </row>
    <row r="15" spans="1:5" x14ac:dyDescent="0.25">
      <c r="A15" t="s">
        <v>986</v>
      </c>
      <c r="B15" t="s">
        <v>383</v>
      </c>
      <c r="C15" t="s">
        <v>382</v>
      </c>
      <c r="D15">
        <v>2044</v>
      </c>
      <c r="E15" s="22" t="s">
        <v>973</v>
      </c>
    </row>
    <row r="16" spans="1:5" x14ac:dyDescent="0.25">
      <c r="A16" t="s">
        <v>987</v>
      </c>
      <c r="B16" t="s">
        <v>385</v>
      </c>
      <c r="C16" t="s">
        <v>384</v>
      </c>
      <c r="D16">
        <v>4095</v>
      </c>
      <c r="E16" s="22" t="s">
        <v>973</v>
      </c>
    </row>
    <row r="17" spans="1:5" x14ac:dyDescent="0.25">
      <c r="A17" t="s">
        <v>988</v>
      </c>
      <c r="B17" t="s">
        <v>388</v>
      </c>
      <c r="C17" t="s">
        <v>387</v>
      </c>
      <c r="D17">
        <v>2033</v>
      </c>
      <c r="E17" s="22" t="s">
        <v>973</v>
      </c>
    </row>
    <row r="18" spans="1:5" x14ac:dyDescent="0.25">
      <c r="A18" t="s">
        <v>989</v>
      </c>
      <c r="B18" t="s">
        <v>390</v>
      </c>
      <c r="C18" t="s">
        <v>389</v>
      </c>
      <c r="D18">
        <v>10955</v>
      </c>
      <c r="E18" s="22" t="s">
        <v>973</v>
      </c>
    </row>
    <row r="19" spans="1:5" x14ac:dyDescent="0.25">
      <c r="A19" t="s">
        <v>990</v>
      </c>
      <c r="B19" t="s">
        <v>393</v>
      </c>
      <c r="C19" t="s">
        <v>392</v>
      </c>
      <c r="D19">
        <v>3608</v>
      </c>
      <c r="E19" s="22" t="s">
        <v>973</v>
      </c>
    </row>
    <row r="20" spans="1:5" x14ac:dyDescent="0.25">
      <c r="A20" t="s">
        <v>991</v>
      </c>
      <c r="B20" t="s">
        <v>395</v>
      </c>
      <c r="C20" t="s">
        <v>394</v>
      </c>
      <c r="D20">
        <v>10463</v>
      </c>
      <c r="E20" s="22" t="s">
        <v>973</v>
      </c>
    </row>
    <row r="21" spans="1:5" x14ac:dyDescent="0.25">
      <c r="A21" t="s">
        <v>992</v>
      </c>
      <c r="B21" t="s">
        <v>398</v>
      </c>
      <c r="C21" t="s">
        <v>397</v>
      </c>
      <c r="D21">
        <v>3544</v>
      </c>
      <c r="E21" s="22" t="s">
        <v>973</v>
      </c>
    </row>
    <row r="22" spans="1:5" x14ac:dyDescent="0.25">
      <c r="A22" t="s">
        <v>993</v>
      </c>
      <c r="B22" t="s">
        <v>400</v>
      </c>
      <c r="C22" t="s">
        <v>399</v>
      </c>
      <c r="D22">
        <v>2112</v>
      </c>
      <c r="E22" s="22" t="s">
        <v>973</v>
      </c>
    </row>
    <row r="23" spans="1:5" x14ac:dyDescent="0.25">
      <c r="A23" t="s">
        <v>994</v>
      </c>
      <c r="B23" t="s">
        <v>403</v>
      </c>
      <c r="C23" t="s">
        <v>402</v>
      </c>
      <c r="D23">
        <v>1421</v>
      </c>
      <c r="E23" s="22" t="s">
        <v>973</v>
      </c>
    </row>
    <row r="24" spans="1:5" x14ac:dyDescent="0.25">
      <c r="A24" t="s">
        <v>995</v>
      </c>
      <c r="B24" t="s">
        <v>405</v>
      </c>
      <c r="C24" t="s">
        <v>404</v>
      </c>
      <c r="D24">
        <v>2129</v>
      </c>
      <c r="E24" s="22" t="s">
        <v>973</v>
      </c>
    </row>
    <row r="25" spans="1:5" x14ac:dyDescent="0.25">
      <c r="A25" t="s">
        <v>996</v>
      </c>
      <c r="B25" t="s">
        <v>408</v>
      </c>
      <c r="C25" t="s">
        <v>407</v>
      </c>
      <c r="D25">
        <v>1439</v>
      </c>
      <c r="E25" s="22" t="s">
        <v>973</v>
      </c>
    </row>
    <row r="26" spans="1:5" x14ac:dyDescent="0.25">
      <c r="A26" t="s">
        <v>997</v>
      </c>
      <c r="B26" t="s">
        <v>409</v>
      </c>
      <c r="C26" t="s">
        <v>300</v>
      </c>
      <c r="D26">
        <v>2137</v>
      </c>
      <c r="E26" s="22" t="s">
        <v>973</v>
      </c>
    </row>
    <row r="27" spans="1:5" x14ac:dyDescent="0.25">
      <c r="A27" t="s">
        <v>998</v>
      </c>
      <c r="B27" t="s">
        <v>412</v>
      </c>
      <c r="C27" t="s">
        <v>411</v>
      </c>
      <c r="D27">
        <v>1433</v>
      </c>
      <c r="E27" s="22" t="s">
        <v>973</v>
      </c>
    </row>
    <row r="28" spans="1:5" x14ac:dyDescent="0.25">
      <c r="A28" t="s">
        <v>999</v>
      </c>
      <c r="B28" t="s">
        <v>414</v>
      </c>
      <c r="C28" t="s">
        <v>413</v>
      </c>
      <c r="D28">
        <v>2141</v>
      </c>
      <c r="E28" s="22" t="s">
        <v>973</v>
      </c>
    </row>
    <row r="29" spans="1:5" x14ac:dyDescent="0.25">
      <c r="A29" t="s">
        <v>1000</v>
      </c>
      <c r="B29" t="s">
        <v>417</v>
      </c>
      <c r="C29" t="s">
        <v>416</v>
      </c>
      <c r="D29">
        <v>1560</v>
      </c>
      <c r="E29" s="22" t="s">
        <v>973</v>
      </c>
    </row>
    <row r="30" spans="1:5" x14ac:dyDescent="0.25">
      <c r="A30" t="s">
        <v>1001</v>
      </c>
      <c r="B30" t="s">
        <v>419</v>
      </c>
      <c r="C30" t="s">
        <v>418</v>
      </c>
      <c r="D30">
        <v>18736</v>
      </c>
      <c r="E30" s="22" t="s">
        <v>973</v>
      </c>
    </row>
    <row r="31" spans="1:5" x14ac:dyDescent="0.25">
      <c r="A31" t="s">
        <v>1002</v>
      </c>
      <c r="B31" t="s">
        <v>422</v>
      </c>
      <c r="C31" t="s">
        <v>421</v>
      </c>
      <c r="D31">
        <v>1562</v>
      </c>
      <c r="E31" s="22" t="s">
        <v>973</v>
      </c>
    </row>
    <row r="32" spans="1:5" x14ac:dyDescent="0.25">
      <c r="A32" t="s">
        <v>1003</v>
      </c>
      <c r="B32" t="s">
        <v>424</v>
      </c>
      <c r="C32" t="s">
        <v>423</v>
      </c>
      <c r="D32">
        <v>10741</v>
      </c>
      <c r="E32" s="22" t="s">
        <v>973</v>
      </c>
    </row>
    <row r="33" spans="1:5" x14ac:dyDescent="0.25">
      <c r="A33" t="s">
        <v>1004</v>
      </c>
      <c r="B33" t="s">
        <v>427</v>
      </c>
      <c r="C33" t="s">
        <v>426</v>
      </c>
      <c r="D33">
        <v>1556</v>
      </c>
      <c r="E33" s="22" t="s">
        <v>973</v>
      </c>
    </row>
    <row r="34" spans="1:5" x14ac:dyDescent="0.25">
      <c r="A34" t="s">
        <v>1005</v>
      </c>
      <c r="B34" t="s">
        <v>429</v>
      </c>
      <c r="C34" t="s">
        <v>428</v>
      </c>
      <c r="D34">
        <v>5812</v>
      </c>
      <c r="E34" s="22" t="s">
        <v>973</v>
      </c>
    </row>
    <row r="35" spans="1:5" x14ac:dyDescent="0.25">
      <c r="A35" t="s">
        <v>1006</v>
      </c>
      <c r="B35" t="s">
        <v>432</v>
      </c>
      <c r="C35" t="s">
        <v>431</v>
      </c>
      <c r="D35">
        <v>1429</v>
      </c>
      <c r="E35" s="22" t="s">
        <v>973</v>
      </c>
    </row>
    <row r="36" spans="1:5" x14ac:dyDescent="0.25">
      <c r="A36" t="s">
        <v>1007</v>
      </c>
      <c r="B36" t="s">
        <v>434</v>
      </c>
      <c r="C36" t="s">
        <v>433</v>
      </c>
      <c r="D36">
        <v>240906</v>
      </c>
      <c r="E36" s="22" t="s">
        <v>973</v>
      </c>
    </row>
    <row r="37" spans="1:5" x14ac:dyDescent="0.25">
      <c r="A37" t="s">
        <v>1008</v>
      </c>
      <c r="B37" t="s">
        <v>437</v>
      </c>
      <c r="C37" t="s">
        <v>436</v>
      </c>
      <c r="D37">
        <v>1559</v>
      </c>
      <c r="E37" s="22" t="s">
        <v>973</v>
      </c>
    </row>
    <row r="38" spans="1:5" x14ac:dyDescent="0.25">
      <c r="A38" t="s">
        <v>1009</v>
      </c>
      <c r="B38" t="s">
        <v>438</v>
      </c>
      <c r="C38" t="s">
        <v>268</v>
      </c>
      <c r="D38">
        <v>7973</v>
      </c>
      <c r="E38" s="22" t="s">
        <v>973</v>
      </c>
    </row>
    <row r="39" spans="1:5" x14ac:dyDescent="0.25">
      <c r="A39" t="s">
        <v>1010</v>
      </c>
      <c r="B39" t="s">
        <v>440</v>
      </c>
      <c r="C39" t="s">
        <v>439</v>
      </c>
      <c r="D39">
        <v>1434</v>
      </c>
      <c r="E39" s="22" t="s">
        <v>973</v>
      </c>
    </row>
    <row r="40" spans="1:5" x14ac:dyDescent="0.25">
      <c r="A40" t="s">
        <v>230</v>
      </c>
      <c r="B40" t="s">
        <v>441</v>
      </c>
      <c r="C40" t="s">
        <v>225</v>
      </c>
      <c r="D40">
        <v>112687</v>
      </c>
      <c r="E40" s="22" t="s">
        <v>973</v>
      </c>
    </row>
    <row r="41" spans="1:5" x14ac:dyDescent="0.25">
      <c r="A41" t="s">
        <v>1011</v>
      </c>
      <c r="B41" t="s">
        <v>443</v>
      </c>
      <c r="C41" t="s">
        <v>1012</v>
      </c>
      <c r="D41">
        <v>30473</v>
      </c>
      <c r="E41" s="22" t="s">
        <v>973</v>
      </c>
    </row>
    <row r="42" spans="1:5" x14ac:dyDescent="0.25">
      <c r="A42" t="s">
        <v>1013</v>
      </c>
      <c r="B42" t="s">
        <v>445</v>
      </c>
      <c r="C42" t="s">
        <v>1014</v>
      </c>
      <c r="D42">
        <v>36524</v>
      </c>
      <c r="E42" s="22" t="s">
        <v>973</v>
      </c>
    </row>
    <row r="43" spans="1:5" x14ac:dyDescent="0.25">
      <c r="A43" t="s">
        <v>1015</v>
      </c>
      <c r="B43" t="s">
        <v>447</v>
      </c>
      <c r="C43" t="s">
        <v>275</v>
      </c>
      <c r="D43">
        <v>22180</v>
      </c>
      <c r="E43" s="22" t="s">
        <v>973</v>
      </c>
    </row>
    <row r="44" spans="1:5" x14ac:dyDescent="0.25">
      <c r="A44" t="s">
        <v>1016</v>
      </c>
      <c r="B44" t="s">
        <v>449</v>
      </c>
      <c r="C44" t="s">
        <v>448</v>
      </c>
      <c r="D44">
        <v>3788</v>
      </c>
      <c r="E44" s="22" t="s">
        <v>973</v>
      </c>
    </row>
    <row r="45" spans="1:5" x14ac:dyDescent="0.25">
      <c r="A45" t="s">
        <v>1017</v>
      </c>
      <c r="B45" t="s">
        <v>450</v>
      </c>
      <c r="C45" t="s">
        <v>1018</v>
      </c>
      <c r="D45">
        <v>29841</v>
      </c>
      <c r="E45" s="22" t="s">
        <v>973</v>
      </c>
    </row>
    <row r="46" spans="1:5" x14ac:dyDescent="0.25">
      <c r="A46" t="s">
        <v>1019</v>
      </c>
      <c r="B46" t="s">
        <v>452</v>
      </c>
      <c r="C46" t="s">
        <v>1020</v>
      </c>
      <c r="D46">
        <v>36038</v>
      </c>
      <c r="E46" s="22" t="s">
        <v>973</v>
      </c>
    </row>
    <row r="47" spans="1:5" x14ac:dyDescent="0.25">
      <c r="A47" t="s">
        <v>1021</v>
      </c>
      <c r="B47" t="s">
        <v>454</v>
      </c>
      <c r="C47" t="s">
        <v>330</v>
      </c>
      <c r="D47">
        <v>21229</v>
      </c>
      <c r="E47" s="22" t="s">
        <v>973</v>
      </c>
    </row>
    <row r="48" spans="1:5" x14ac:dyDescent="0.25">
      <c r="A48" t="s">
        <v>1022</v>
      </c>
      <c r="B48" t="s">
        <v>456</v>
      </c>
      <c r="C48" t="s">
        <v>455</v>
      </c>
      <c r="D48">
        <v>3732</v>
      </c>
      <c r="E48" s="22" t="s">
        <v>973</v>
      </c>
    </row>
    <row r="49" spans="1:5" x14ac:dyDescent="0.25">
      <c r="A49" t="s">
        <v>1023</v>
      </c>
      <c r="B49" t="s">
        <v>457</v>
      </c>
      <c r="C49" t="s">
        <v>1024</v>
      </c>
      <c r="D49">
        <v>30277</v>
      </c>
      <c r="E49" s="22" t="s">
        <v>973</v>
      </c>
    </row>
    <row r="50" spans="1:5" x14ac:dyDescent="0.25">
      <c r="A50" t="s">
        <v>1025</v>
      </c>
      <c r="B50" t="s">
        <v>459</v>
      </c>
      <c r="C50" t="s">
        <v>1026</v>
      </c>
      <c r="D50">
        <v>36497</v>
      </c>
      <c r="E50" s="22" t="s">
        <v>973</v>
      </c>
    </row>
    <row r="51" spans="1:5" x14ac:dyDescent="0.25">
      <c r="A51" t="s">
        <v>1027</v>
      </c>
      <c r="B51" t="s">
        <v>461</v>
      </c>
      <c r="C51" t="s">
        <v>332</v>
      </c>
      <c r="D51">
        <v>22220</v>
      </c>
      <c r="E51" s="22" t="s">
        <v>973</v>
      </c>
    </row>
    <row r="52" spans="1:5" x14ac:dyDescent="0.25">
      <c r="A52" t="s">
        <v>1028</v>
      </c>
      <c r="B52" t="s">
        <v>463</v>
      </c>
      <c r="C52" t="s">
        <v>462</v>
      </c>
      <c r="D52">
        <v>3787</v>
      </c>
      <c r="E52" s="22" t="s">
        <v>973</v>
      </c>
    </row>
    <row r="53" spans="1:5" x14ac:dyDescent="0.25">
      <c r="A53" t="s">
        <v>1029</v>
      </c>
      <c r="B53" t="s">
        <v>464</v>
      </c>
      <c r="C53" t="s">
        <v>1030</v>
      </c>
      <c r="D53">
        <v>30056</v>
      </c>
      <c r="E53" s="22" t="s">
        <v>973</v>
      </c>
    </row>
    <row r="54" spans="1:5" x14ac:dyDescent="0.25">
      <c r="A54" t="s">
        <v>1031</v>
      </c>
      <c r="B54" t="s">
        <v>466</v>
      </c>
      <c r="C54" t="s">
        <v>1032</v>
      </c>
      <c r="D54">
        <v>36416</v>
      </c>
      <c r="E54" s="22" t="s">
        <v>973</v>
      </c>
    </row>
    <row r="55" spans="1:5" x14ac:dyDescent="0.25">
      <c r="A55" t="s">
        <v>1033</v>
      </c>
      <c r="B55" t="s">
        <v>468</v>
      </c>
      <c r="C55" t="s">
        <v>279</v>
      </c>
      <c r="D55">
        <v>21758</v>
      </c>
      <c r="E55" s="22" t="s">
        <v>973</v>
      </c>
    </row>
    <row r="56" spans="1:5" x14ac:dyDescent="0.25">
      <c r="A56" t="s">
        <v>1034</v>
      </c>
      <c r="B56" t="s">
        <v>470</v>
      </c>
      <c r="C56" t="s">
        <v>469</v>
      </c>
      <c r="D56">
        <v>3732</v>
      </c>
      <c r="E56" s="22" t="s">
        <v>973</v>
      </c>
    </row>
    <row r="57" spans="1:5" x14ac:dyDescent="0.25">
      <c r="A57" t="s">
        <v>1035</v>
      </c>
      <c r="B57" t="s">
        <v>472</v>
      </c>
      <c r="C57" t="s">
        <v>1036</v>
      </c>
      <c r="D57">
        <v>25110</v>
      </c>
      <c r="E57" s="22" t="s">
        <v>973</v>
      </c>
    </row>
    <row r="58" spans="1:5" x14ac:dyDescent="0.25">
      <c r="A58" t="s">
        <v>1037</v>
      </c>
      <c r="B58" t="s">
        <v>473</v>
      </c>
      <c r="C58" t="s">
        <v>1038</v>
      </c>
      <c r="D58">
        <v>24840</v>
      </c>
      <c r="E58" s="22" t="s">
        <v>973</v>
      </c>
    </row>
    <row r="59" spans="1:5" x14ac:dyDescent="0.25">
      <c r="A59" t="s">
        <v>1039</v>
      </c>
      <c r="B59" t="s">
        <v>474</v>
      </c>
      <c r="C59" t="s">
        <v>1040</v>
      </c>
      <c r="D59">
        <v>13831</v>
      </c>
      <c r="E59" s="22" t="s">
        <v>973</v>
      </c>
    </row>
    <row r="60" spans="1:5" x14ac:dyDescent="0.25">
      <c r="A60" t="s">
        <v>1041</v>
      </c>
      <c r="B60" t="s">
        <v>475</v>
      </c>
      <c r="C60" t="s">
        <v>1042</v>
      </c>
      <c r="D60">
        <v>15524</v>
      </c>
      <c r="E60" s="22" t="s">
        <v>973</v>
      </c>
    </row>
    <row r="61" spans="1:5" x14ac:dyDescent="0.25">
      <c r="A61" t="s">
        <v>1043</v>
      </c>
      <c r="B61" t="s">
        <v>476</v>
      </c>
      <c r="C61" t="s">
        <v>471</v>
      </c>
      <c r="D61">
        <v>16781</v>
      </c>
      <c r="E61" s="22" t="s">
        <v>973</v>
      </c>
    </row>
    <row r="62" spans="1:5" x14ac:dyDescent="0.25">
      <c r="A62" t="s">
        <v>1044</v>
      </c>
      <c r="B62" t="s">
        <v>478</v>
      </c>
      <c r="C62" t="s">
        <v>477</v>
      </c>
      <c r="D62">
        <v>17400</v>
      </c>
      <c r="E62" s="22" t="s">
        <v>973</v>
      </c>
    </row>
    <row r="63" spans="1:5" x14ac:dyDescent="0.25">
      <c r="A63" t="s">
        <v>1045</v>
      </c>
      <c r="B63" t="s">
        <v>480</v>
      </c>
      <c r="C63" t="s">
        <v>479</v>
      </c>
      <c r="D63">
        <v>2521</v>
      </c>
      <c r="E63" s="22" t="s">
        <v>973</v>
      </c>
    </row>
    <row r="64" spans="1:5" x14ac:dyDescent="0.25">
      <c r="A64" t="s">
        <v>1046</v>
      </c>
      <c r="B64" t="s">
        <v>482</v>
      </c>
      <c r="C64" t="s">
        <v>481</v>
      </c>
      <c r="D64">
        <v>16997</v>
      </c>
      <c r="E64" s="22" t="s">
        <v>973</v>
      </c>
    </row>
    <row r="65" spans="1:5" x14ac:dyDescent="0.25">
      <c r="A65" t="s">
        <v>1047</v>
      </c>
      <c r="B65" t="s">
        <v>484</v>
      </c>
      <c r="C65" t="s">
        <v>483</v>
      </c>
      <c r="D65">
        <v>4157</v>
      </c>
      <c r="E65" s="22" t="s">
        <v>973</v>
      </c>
    </row>
    <row r="66" spans="1:5" x14ac:dyDescent="0.25">
      <c r="A66" t="s">
        <v>1048</v>
      </c>
      <c r="B66" t="s">
        <v>486</v>
      </c>
      <c r="C66" t="s">
        <v>485</v>
      </c>
      <c r="D66">
        <v>4190</v>
      </c>
      <c r="E66" s="22" t="s">
        <v>973</v>
      </c>
    </row>
    <row r="67" spans="1:5" x14ac:dyDescent="0.25">
      <c r="A67" t="s">
        <v>1049</v>
      </c>
      <c r="B67" t="s">
        <v>488</v>
      </c>
      <c r="C67" t="s">
        <v>487</v>
      </c>
      <c r="D67">
        <v>2568</v>
      </c>
      <c r="E67" s="22" t="s">
        <v>973</v>
      </c>
    </row>
    <row r="68" spans="1:5" x14ac:dyDescent="0.25">
      <c r="A68" t="s">
        <v>1050</v>
      </c>
      <c r="B68" t="s">
        <v>490</v>
      </c>
      <c r="C68" t="s">
        <v>1051</v>
      </c>
      <c r="D68">
        <v>15750</v>
      </c>
      <c r="E68" s="22" t="s">
        <v>973</v>
      </c>
    </row>
    <row r="69" spans="1:5" x14ac:dyDescent="0.25">
      <c r="A69" t="s">
        <v>1052</v>
      </c>
      <c r="B69" t="s">
        <v>491</v>
      </c>
      <c r="C69" t="s">
        <v>1053</v>
      </c>
      <c r="D69">
        <v>14821</v>
      </c>
      <c r="E69" s="22" t="s">
        <v>973</v>
      </c>
    </row>
    <row r="70" spans="1:5" x14ac:dyDescent="0.25">
      <c r="A70" t="s">
        <v>1054</v>
      </c>
      <c r="B70" t="s">
        <v>492</v>
      </c>
      <c r="C70" t="s">
        <v>489</v>
      </c>
      <c r="D70">
        <v>17635</v>
      </c>
      <c r="E70" s="22" t="s">
        <v>973</v>
      </c>
    </row>
    <row r="71" spans="1:5" x14ac:dyDescent="0.25">
      <c r="A71" t="s">
        <v>1055</v>
      </c>
      <c r="B71" t="s">
        <v>494</v>
      </c>
      <c r="C71" t="s">
        <v>493</v>
      </c>
      <c r="D71">
        <v>17479</v>
      </c>
      <c r="E71" s="22" t="s">
        <v>973</v>
      </c>
    </row>
    <row r="72" spans="1:5" x14ac:dyDescent="0.25">
      <c r="A72" t="s">
        <v>1056</v>
      </c>
      <c r="B72" t="s">
        <v>496</v>
      </c>
      <c r="C72" t="s">
        <v>495</v>
      </c>
      <c r="D72">
        <v>2561</v>
      </c>
      <c r="E72" s="22" t="s">
        <v>973</v>
      </c>
    </row>
    <row r="73" spans="1:5" x14ac:dyDescent="0.25">
      <c r="A73" t="s">
        <v>1057</v>
      </c>
      <c r="B73" t="s">
        <v>498</v>
      </c>
      <c r="C73" t="s">
        <v>497</v>
      </c>
      <c r="D73">
        <v>17655</v>
      </c>
      <c r="E73" s="22" t="s">
        <v>973</v>
      </c>
    </row>
    <row r="74" spans="1:5" x14ac:dyDescent="0.25">
      <c r="A74" t="s">
        <v>1058</v>
      </c>
      <c r="B74" t="s">
        <v>500</v>
      </c>
      <c r="C74" t="s">
        <v>499</v>
      </c>
      <c r="D74">
        <v>4155</v>
      </c>
      <c r="E74" s="22" t="s">
        <v>973</v>
      </c>
    </row>
    <row r="75" spans="1:5" x14ac:dyDescent="0.25">
      <c r="A75" t="s">
        <v>1059</v>
      </c>
      <c r="B75" t="s">
        <v>502</v>
      </c>
      <c r="C75" t="s">
        <v>501</v>
      </c>
      <c r="D75">
        <v>4168</v>
      </c>
      <c r="E75" s="22" t="s">
        <v>973</v>
      </c>
    </row>
    <row r="76" spans="1:5" x14ac:dyDescent="0.25">
      <c r="A76" t="s">
        <v>1060</v>
      </c>
      <c r="B76" t="s">
        <v>504</v>
      </c>
      <c r="C76" t="s">
        <v>503</v>
      </c>
      <c r="D76">
        <v>2548</v>
      </c>
      <c r="E76" s="22" t="s">
        <v>973</v>
      </c>
    </row>
    <row r="77" spans="1:5" x14ac:dyDescent="0.25">
      <c r="A77" t="s">
        <v>1061</v>
      </c>
      <c r="B77" t="s">
        <v>506</v>
      </c>
      <c r="C77" t="s">
        <v>505</v>
      </c>
      <c r="D77">
        <v>2130</v>
      </c>
      <c r="E77" s="22" t="s">
        <v>973</v>
      </c>
    </row>
    <row r="78" spans="1:5" x14ac:dyDescent="0.25">
      <c r="A78" t="s">
        <v>1062</v>
      </c>
      <c r="B78" t="s">
        <v>508</v>
      </c>
      <c r="C78" t="s">
        <v>507</v>
      </c>
      <c r="D78">
        <v>1435</v>
      </c>
      <c r="E78" s="22" t="s">
        <v>973</v>
      </c>
    </row>
    <row r="79" spans="1:5" x14ac:dyDescent="0.25">
      <c r="A79" t="s">
        <v>1063</v>
      </c>
      <c r="B79" t="s">
        <v>510</v>
      </c>
      <c r="C79" t="s">
        <v>509</v>
      </c>
      <c r="D79">
        <v>4560</v>
      </c>
      <c r="E79" s="22" t="s">
        <v>973</v>
      </c>
    </row>
    <row r="80" spans="1:5" x14ac:dyDescent="0.25">
      <c r="A80" t="s">
        <v>1064</v>
      </c>
      <c r="B80" t="s">
        <v>512</v>
      </c>
      <c r="C80" t="s">
        <v>511</v>
      </c>
      <c r="D80">
        <v>1964</v>
      </c>
      <c r="E80" s="22" t="s">
        <v>973</v>
      </c>
    </row>
    <row r="81" spans="1:5" x14ac:dyDescent="0.25">
      <c r="A81" t="s">
        <v>1065</v>
      </c>
      <c r="B81" t="s">
        <v>514</v>
      </c>
      <c r="C81" t="s">
        <v>513</v>
      </c>
      <c r="D81">
        <v>4570</v>
      </c>
      <c r="E81" s="22" t="s">
        <v>973</v>
      </c>
    </row>
    <row r="82" spans="1:5" x14ac:dyDescent="0.25">
      <c r="A82" t="s">
        <v>1066</v>
      </c>
      <c r="B82" t="s">
        <v>516</v>
      </c>
      <c r="C82" t="s">
        <v>515</v>
      </c>
      <c r="D82">
        <v>1944</v>
      </c>
      <c r="E82" s="22" t="s">
        <v>973</v>
      </c>
    </row>
    <row r="83" spans="1:5" x14ac:dyDescent="0.25">
      <c r="A83" t="s">
        <v>1067</v>
      </c>
      <c r="B83" t="s">
        <v>518</v>
      </c>
      <c r="C83" t="s">
        <v>517</v>
      </c>
      <c r="D83">
        <v>4221</v>
      </c>
      <c r="E83" s="22" t="s">
        <v>973</v>
      </c>
    </row>
    <row r="84" spans="1:5" x14ac:dyDescent="0.25">
      <c r="A84" t="s">
        <v>1068</v>
      </c>
      <c r="B84" t="s">
        <v>520</v>
      </c>
      <c r="C84" t="s">
        <v>519</v>
      </c>
      <c r="D84">
        <v>1445</v>
      </c>
      <c r="E84" s="22" t="s">
        <v>973</v>
      </c>
    </row>
    <row r="85" spans="1:5" x14ac:dyDescent="0.25">
      <c r="A85" t="s">
        <v>1069</v>
      </c>
      <c r="B85" t="s">
        <v>522</v>
      </c>
      <c r="C85" t="s">
        <v>521</v>
      </c>
      <c r="D85">
        <v>306455</v>
      </c>
      <c r="E85" s="22" t="s">
        <v>973</v>
      </c>
    </row>
    <row r="86" spans="1:5" x14ac:dyDescent="0.25">
      <c r="A86" t="s">
        <v>1070</v>
      </c>
      <c r="B86" t="s">
        <v>524</v>
      </c>
      <c r="C86" t="s">
        <v>523</v>
      </c>
      <c r="D86">
        <v>309944</v>
      </c>
      <c r="E86" s="22" t="s">
        <v>973</v>
      </c>
    </row>
    <row r="87" spans="1:5" x14ac:dyDescent="0.25">
      <c r="A87" t="s">
        <v>1071</v>
      </c>
      <c r="B87" t="s">
        <v>526</v>
      </c>
      <c r="C87" t="s">
        <v>525</v>
      </c>
      <c r="D87">
        <v>21979</v>
      </c>
      <c r="E87" s="22" t="s">
        <v>973</v>
      </c>
    </row>
    <row r="88" spans="1:5" x14ac:dyDescent="0.25">
      <c r="A88" t="s">
        <v>1072</v>
      </c>
      <c r="B88" t="s">
        <v>528</v>
      </c>
      <c r="C88" t="s">
        <v>527</v>
      </c>
      <c r="D88">
        <v>1433</v>
      </c>
      <c r="E88" s="22" t="s">
        <v>973</v>
      </c>
    </row>
    <row r="89" spans="1:5" x14ac:dyDescent="0.25">
      <c r="A89" t="s">
        <v>1073</v>
      </c>
      <c r="B89" t="s">
        <v>530</v>
      </c>
      <c r="C89" t="s">
        <v>529</v>
      </c>
      <c r="D89">
        <v>20899</v>
      </c>
      <c r="E89" s="22" t="s">
        <v>973</v>
      </c>
    </row>
    <row r="90" spans="1:5" x14ac:dyDescent="0.25">
      <c r="A90" t="s">
        <v>1074</v>
      </c>
      <c r="B90" t="s">
        <v>532</v>
      </c>
      <c r="C90" t="s">
        <v>531</v>
      </c>
      <c r="D90">
        <v>20596</v>
      </c>
      <c r="E90" s="22" t="s">
        <v>973</v>
      </c>
    </row>
    <row r="91" spans="1:5" x14ac:dyDescent="0.25">
      <c r="A91" t="s">
        <v>1075</v>
      </c>
      <c r="B91" t="s">
        <v>534</v>
      </c>
      <c r="C91" t="s">
        <v>533</v>
      </c>
      <c r="D91">
        <v>301835</v>
      </c>
      <c r="E91" s="22" t="s">
        <v>973</v>
      </c>
    </row>
    <row r="92" spans="1:5" x14ac:dyDescent="0.25">
      <c r="A92" t="s">
        <v>1076</v>
      </c>
      <c r="B92" t="s">
        <v>536</v>
      </c>
      <c r="C92" t="s">
        <v>535</v>
      </c>
      <c r="D92">
        <v>320785</v>
      </c>
      <c r="E92" s="22" t="s">
        <v>973</v>
      </c>
    </row>
    <row r="93" spans="1:5" x14ac:dyDescent="0.25">
      <c r="A93" t="s">
        <v>1077</v>
      </c>
      <c r="B93" t="s">
        <v>538</v>
      </c>
      <c r="C93" t="s">
        <v>537</v>
      </c>
      <c r="D93">
        <v>306010</v>
      </c>
      <c r="E93" s="22" t="s">
        <v>973</v>
      </c>
    </row>
    <row r="94" spans="1:5" x14ac:dyDescent="0.25">
      <c r="A94" t="s">
        <v>1078</v>
      </c>
      <c r="B94" t="s">
        <v>540</v>
      </c>
      <c r="C94" t="s">
        <v>539</v>
      </c>
      <c r="D94">
        <v>323160</v>
      </c>
      <c r="E94" s="22" t="s">
        <v>973</v>
      </c>
    </row>
    <row r="95" spans="1:5" x14ac:dyDescent="0.25">
      <c r="A95" t="s">
        <v>1079</v>
      </c>
      <c r="B95" t="s">
        <v>542</v>
      </c>
      <c r="C95" t="s">
        <v>541</v>
      </c>
      <c r="D95">
        <v>176864</v>
      </c>
      <c r="E95" s="22" t="s">
        <v>973</v>
      </c>
    </row>
    <row r="96" spans="1:5" x14ac:dyDescent="0.25">
      <c r="A96" t="s">
        <v>1080</v>
      </c>
      <c r="B96" t="s">
        <v>544</v>
      </c>
      <c r="C96" t="s">
        <v>543</v>
      </c>
      <c r="D96">
        <v>1551</v>
      </c>
      <c r="E96" s="22" t="s">
        <v>973</v>
      </c>
    </row>
    <row r="97" spans="1:5" x14ac:dyDescent="0.25">
      <c r="A97" t="s">
        <v>1081</v>
      </c>
      <c r="B97" t="s">
        <v>546</v>
      </c>
      <c r="C97" t="s">
        <v>545</v>
      </c>
      <c r="D97">
        <v>3312</v>
      </c>
      <c r="E97" s="22" t="s">
        <v>973</v>
      </c>
    </row>
    <row r="98" spans="1:5" x14ac:dyDescent="0.25">
      <c r="A98" t="s">
        <v>1082</v>
      </c>
      <c r="B98" t="s">
        <v>549</v>
      </c>
      <c r="C98" t="s">
        <v>548</v>
      </c>
      <c r="D98">
        <v>1560</v>
      </c>
      <c r="E98" s="22" t="s">
        <v>973</v>
      </c>
    </row>
    <row r="99" spans="1:5" x14ac:dyDescent="0.25">
      <c r="A99" t="s">
        <v>1083</v>
      </c>
      <c r="B99" t="s">
        <v>550</v>
      </c>
      <c r="C99" t="s">
        <v>30</v>
      </c>
      <c r="D99">
        <v>31528</v>
      </c>
      <c r="E99" s="22" t="s">
        <v>973</v>
      </c>
    </row>
    <row r="100" spans="1:5" x14ac:dyDescent="0.25">
      <c r="A100" t="s">
        <v>1084</v>
      </c>
      <c r="B100" t="s">
        <v>552</v>
      </c>
      <c r="C100" t="s">
        <v>551</v>
      </c>
      <c r="D100">
        <v>1562</v>
      </c>
      <c r="E100" s="22" t="s">
        <v>973</v>
      </c>
    </row>
    <row r="101" spans="1:5" x14ac:dyDescent="0.25">
      <c r="A101" t="s">
        <v>1085</v>
      </c>
      <c r="B101" t="s">
        <v>553</v>
      </c>
      <c r="C101" t="s">
        <v>26</v>
      </c>
      <c r="D101">
        <v>4719</v>
      </c>
      <c r="E101" s="22" t="s">
        <v>973</v>
      </c>
    </row>
    <row r="102" spans="1:5" x14ac:dyDescent="0.25">
      <c r="A102" t="s">
        <v>1086</v>
      </c>
      <c r="B102" t="s">
        <v>556</v>
      </c>
      <c r="C102" t="s">
        <v>555</v>
      </c>
      <c r="D102">
        <v>1561</v>
      </c>
      <c r="E102" s="22" t="s">
        <v>973</v>
      </c>
    </row>
    <row r="103" spans="1:5" x14ac:dyDescent="0.25">
      <c r="A103" t="s">
        <v>1087</v>
      </c>
      <c r="B103" t="s">
        <v>557</v>
      </c>
      <c r="C103" t="s">
        <v>38</v>
      </c>
      <c r="D103">
        <v>2176</v>
      </c>
      <c r="E103" s="22" t="s">
        <v>973</v>
      </c>
    </row>
    <row r="104" spans="1:5" x14ac:dyDescent="0.25">
      <c r="A104" t="s">
        <v>1088</v>
      </c>
      <c r="B104" t="s">
        <v>560</v>
      </c>
      <c r="C104" t="s">
        <v>559</v>
      </c>
      <c r="D104">
        <v>1558</v>
      </c>
      <c r="E104" s="22" t="s">
        <v>973</v>
      </c>
    </row>
    <row r="105" spans="1:5" x14ac:dyDescent="0.25">
      <c r="A105" t="s">
        <v>1089</v>
      </c>
      <c r="B105" t="s">
        <v>562</v>
      </c>
      <c r="C105" t="s">
        <v>561</v>
      </c>
      <c r="D105">
        <v>6659</v>
      </c>
      <c r="E105" s="22" t="s">
        <v>973</v>
      </c>
    </row>
    <row r="106" spans="1:5" x14ac:dyDescent="0.25">
      <c r="A106" t="s">
        <v>1090</v>
      </c>
      <c r="B106" t="s">
        <v>565</v>
      </c>
      <c r="C106" t="s">
        <v>564</v>
      </c>
      <c r="D106">
        <v>2669</v>
      </c>
      <c r="E106" s="22" t="s">
        <v>973</v>
      </c>
    </row>
    <row r="107" spans="1:5" x14ac:dyDescent="0.25">
      <c r="A107" t="s">
        <v>1091</v>
      </c>
      <c r="B107" t="s">
        <v>567</v>
      </c>
      <c r="C107" t="s">
        <v>566</v>
      </c>
      <c r="D107">
        <v>6647</v>
      </c>
      <c r="E107" s="22" t="s">
        <v>973</v>
      </c>
    </row>
    <row r="108" spans="1:5" x14ac:dyDescent="0.25">
      <c r="A108" t="s">
        <v>1092</v>
      </c>
      <c r="B108" t="s">
        <v>570</v>
      </c>
      <c r="C108" t="s">
        <v>569</v>
      </c>
      <c r="D108">
        <v>2605</v>
      </c>
      <c r="E108" s="22" t="s">
        <v>973</v>
      </c>
    </row>
    <row r="109" spans="1:5" x14ac:dyDescent="0.25">
      <c r="A109" t="s">
        <v>1093</v>
      </c>
      <c r="B109" t="s">
        <v>572</v>
      </c>
      <c r="C109" t="s">
        <v>571</v>
      </c>
      <c r="D109">
        <v>3751</v>
      </c>
      <c r="E109" s="22" t="s">
        <v>973</v>
      </c>
    </row>
    <row r="110" spans="1:5" x14ac:dyDescent="0.25">
      <c r="A110" t="s">
        <v>1094</v>
      </c>
      <c r="B110" t="s">
        <v>575</v>
      </c>
      <c r="C110" t="s">
        <v>574</v>
      </c>
      <c r="D110">
        <v>1560</v>
      </c>
      <c r="E110" s="22" t="s">
        <v>973</v>
      </c>
    </row>
    <row r="111" spans="1:5" x14ac:dyDescent="0.25">
      <c r="A111" t="s">
        <v>1095</v>
      </c>
      <c r="B111" t="s">
        <v>577</v>
      </c>
      <c r="C111" t="s">
        <v>576</v>
      </c>
      <c r="D111">
        <v>3740</v>
      </c>
      <c r="E111" s="22" t="s">
        <v>973</v>
      </c>
    </row>
    <row r="112" spans="1:5" x14ac:dyDescent="0.25">
      <c r="A112" t="s">
        <v>1096</v>
      </c>
      <c r="B112" t="s">
        <v>580</v>
      </c>
      <c r="C112" t="s">
        <v>579</v>
      </c>
      <c r="D112">
        <v>1559</v>
      </c>
      <c r="E112" s="22" t="s">
        <v>973</v>
      </c>
    </row>
    <row r="113" spans="1:5" x14ac:dyDescent="0.25">
      <c r="A113" t="s">
        <v>1097</v>
      </c>
      <c r="B113" t="s">
        <v>581</v>
      </c>
      <c r="C113" t="s">
        <v>80</v>
      </c>
      <c r="D113">
        <v>2476</v>
      </c>
      <c r="E113" s="22" t="s">
        <v>973</v>
      </c>
    </row>
    <row r="114" spans="1:5" x14ac:dyDescent="0.25">
      <c r="A114" t="s">
        <v>1098</v>
      </c>
      <c r="B114" t="s">
        <v>583</v>
      </c>
      <c r="C114" t="s">
        <v>582</v>
      </c>
      <c r="D114">
        <v>1440</v>
      </c>
      <c r="E114" s="22" t="s">
        <v>973</v>
      </c>
    </row>
    <row r="115" spans="1:5" x14ac:dyDescent="0.25">
      <c r="A115" t="s">
        <v>1099</v>
      </c>
      <c r="B115" t="s">
        <v>585</v>
      </c>
      <c r="C115" t="s">
        <v>584</v>
      </c>
      <c r="D115">
        <v>4195</v>
      </c>
      <c r="E115" s="22" t="s">
        <v>973</v>
      </c>
    </row>
    <row r="116" spans="1:5" x14ac:dyDescent="0.25">
      <c r="A116" t="s">
        <v>1100</v>
      </c>
      <c r="B116" t="s">
        <v>587</v>
      </c>
      <c r="C116" t="s">
        <v>586</v>
      </c>
      <c r="D116">
        <v>4219</v>
      </c>
      <c r="E116" s="22" t="s">
        <v>973</v>
      </c>
    </row>
    <row r="117" spans="1:5" x14ac:dyDescent="0.25">
      <c r="A117" t="s">
        <v>1101</v>
      </c>
      <c r="B117" t="s">
        <v>589</v>
      </c>
      <c r="C117" t="s">
        <v>588</v>
      </c>
      <c r="D117">
        <v>17044</v>
      </c>
      <c r="E117" s="22" t="s">
        <v>973</v>
      </c>
    </row>
    <row r="118" spans="1:5" x14ac:dyDescent="0.25">
      <c r="A118" t="s">
        <v>1102</v>
      </c>
      <c r="B118" t="s">
        <v>591</v>
      </c>
      <c r="C118" t="s">
        <v>590</v>
      </c>
      <c r="D118">
        <v>3689</v>
      </c>
      <c r="E118" s="22" t="s">
        <v>973</v>
      </c>
    </row>
    <row r="119" spans="1:5" x14ac:dyDescent="0.25">
      <c r="A119" t="s">
        <v>1103</v>
      </c>
      <c r="B119" t="s">
        <v>593</v>
      </c>
      <c r="C119" t="s">
        <v>592</v>
      </c>
      <c r="D119">
        <v>16700</v>
      </c>
      <c r="E119" s="22" t="s">
        <v>973</v>
      </c>
    </row>
    <row r="120" spans="1:5" x14ac:dyDescent="0.25">
      <c r="A120" t="s">
        <v>1104</v>
      </c>
      <c r="B120" t="s">
        <v>595</v>
      </c>
      <c r="C120" t="s">
        <v>594</v>
      </c>
      <c r="D120">
        <v>3542</v>
      </c>
      <c r="E120" s="22" t="s">
        <v>973</v>
      </c>
    </row>
    <row r="121" spans="1:5" x14ac:dyDescent="0.25">
      <c r="A121" t="s">
        <v>1105</v>
      </c>
      <c r="B121" t="s">
        <v>597</v>
      </c>
      <c r="C121" t="s">
        <v>596</v>
      </c>
      <c r="D121">
        <v>2755</v>
      </c>
      <c r="E121" s="22" t="s">
        <v>973</v>
      </c>
    </row>
    <row r="122" spans="1:5" x14ac:dyDescent="0.25">
      <c r="A122" t="s">
        <v>1106</v>
      </c>
      <c r="B122" t="s">
        <v>599</v>
      </c>
      <c r="C122" t="s">
        <v>598</v>
      </c>
      <c r="D122">
        <v>2761</v>
      </c>
      <c r="E122" s="22" t="s">
        <v>973</v>
      </c>
    </row>
    <row r="123" spans="1:5" x14ac:dyDescent="0.25">
      <c r="A123" t="s">
        <v>1107</v>
      </c>
      <c r="B123" t="s">
        <v>601</v>
      </c>
      <c r="C123" t="s">
        <v>600</v>
      </c>
      <c r="D123">
        <v>10630</v>
      </c>
      <c r="E123" s="22" t="s">
        <v>973</v>
      </c>
    </row>
    <row r="124" spans="1:5" x14ac:dyDescent="0.25">
      <c r="A124" t="s">
        <v>1108</v>
      </c>
      <c r="B124" t="s">
        <v>603</v>
      </c>
      <c r="C124" t="s">
        <v>602</v>
      </c>
      <c r="D124">
        <v>2648</v>
      </c>
      <c r="E124" s="22" t="s">
        <v>973</v>
      </c>
    </row>
    <row r="125" spans="1:5" x14ac:dyDescent="0.25">
      <c r="A125" t="s">
        <v>1109</v>
      </c>
      <c r="B125" t="s">
        <v>605</v>
      </c>
      <c r="C125" t="s">
        <v>604</v>
      </c>
      <c r="D125">
        <v>10636</v>
      </c>
      <c r="E125" s="22" t="s">
        <v>973</v>
      </c>
    </row>
    <row r="126" spans="1:5" x14ac:dyDescent="0.25">
      <c r="A126" t="s">
        <v>1110</v>
      </c>
      <c r="B126" t="s">
        <v>607</v>
      </c>
      <c r="C126" t="s">
        <v>606</v>
      </c>
      <c r="D126">
        <v>2623</v>
      </c>
      <c r="E126" s="22" t="s">
        <v>973</v>
      </c>
    </row>
    <row r="127" spans="1:5" x14ac:dyDescent="0.25">
      <c r="A127" t="s">
        <v>1111</v>
      </c>
      <c r="B127" t="s">
        <v>608</v>
      </c>
      <c r="C127" t="s">
        <v>249</v>
      </c>
      <c r="D127">
        <v>9970</v>
      </c>
      <c r="E127" s="22" t="s">
        <v>973</v>
      </c>
    </row>
    <row r="128" spans="1:5" x14ac:dyDescent="0.25">
      <c r="A128" t="s">
        <v>1112</v>
      </c>
      <c r="B128" t="s">
        <v>611</v>
      </c>
      <c r="C128" t="s">
        <v>610</v>
      </c>
      <c r="D128">
        <v>18247</v>
      </c>
      <c r="E128" s="22" t="s">
        <v>973</v>
      </c>
    </row>
    <row r="129" spans="1:5" x14ac:dyDescent="0.25">
      <c r="A129" t="s">
        <v>1113</v>
      </c>
      <c r="B129" t="s">
        <v>613</v>
      </c>
      <c r="C129" t="s">
        <v>612</v>
      </c>
      <c r="D129">
        <v>3785</v>
      </c>
      <c r="E129" s="22" t="s">
        <v>973</v>
      </c>
    </row>
    <row r="130" spans="1:5" x14ac:dyDescent="0.25">
      <c r="A130" t="s">
        <v>1114</v>
      </c>
      <c r="B130" t="s">
        <v>615</v>
      </c>
      <c r="C130" t="s">
        <v>614</v>
      </c>
      <c r="D130">
        <v>17802</v>
      </c>
      <c r="E130" s="22" t="s">
        <v>973</v>
      </c>
    </row>
    <row r="131" spans="1:5" x14ac:dyDescent="0.25">
      <c r="A131" t="s">
        <v>1115</v>
      </c>
      <c r="B131" t="s">
        <v>617</v>
      </c>
      <c r="C131" t="s">
        <v>616</v>
      </c>
      <c r="D131">
        <v>3737</v>
      </c>
      <c r="E131" s="22" t="s">
        <v>973</v>
      </c>
    </row>
    <row r="132" spans="1:5" x14ac:dyDescent="0.25">
      <c r="A132" t="s">
        <v>1116</v>
      </c>
      <c r="B132" t="s">
        <v>619</v>
      </c>
      <c r="C132" t="s">
        <v>618</v>
      </c>
      <c r="D132">
        <v>6385</v>
      </c>
      <c r="E132" s="22" t="s">
        <v>973</v>
      </c>
    </row>
    <row r="133" spans="1:5" x14ac:dyDescent="0.25">
      <c r="A133" t="s">
        <v>1117</v>
      </c>
      <c r="B133" t="s">
        <v>621</v>
      </c>
      <c r="C133" t="s">
        <v>620</v>
      </c>
      <c r="D133">
        <v>2045</v>
      </c>
      <c r="E133" s="22" t="s">
        <v>973</v>
      </c>
    </row>
    <row r="134" spans="1:5" x14ac:dyDescent="0.25">
      <c r="A134" t="s">
        <v>1118</v>
      </c>
      <c r="B134" t="s">
        <v>623</v>
      </c>
      <c r="C134" t="s">
        <v>622</v>
      </c>
      <c r="D134">
        <v>6419</v>
      </c>
      <c r="E134" s="22" t="s">
        <v>973</v>
      </c>
    </row>
    <row r="135" spans="1:5" x14ac:dyDescent="0.25">
      <c r="A135" t="s">
        <v>1119</v>
      </c>
      <c r="B135" t="s">
        <v>625</v>
      </c>
      <c r="C135" t="s">
        <v>624</v>
      </c>
      <c r="D135">
        <v>2043</v>
      </c>
      <c r="E135" s="22" t="s">
        <v>973</v>
      </c>
    </row>
    <row r="136" spans="1:5" x14ac:dyDescent="0.25">
      <c r="A136" t="s">
        <v>1120</v>
      </c>
      <c r="B136" t="s">
        <v>626</v>
      </c>
      <c r="C136" t="s">
        <v>22</v>
      </c>
      <c r="D136">
        <v>2733</v>
      </c>
      <c r="E136" s="22" t="s">
        <v>973</v>
      </c>
    </row>
    <row r="137" spans="1:5" x14ac:dyDescent="0.25">
      <c r="A137" t="s">
        <v>1121</v>
      </c>
      <c r="B137" t="s">
        <v>628</v>
      </c>
      <c r="C137" t="s">
        <v>627</v>
      </c>
      <c r="D137">
        <v>2481</v>
      </c>
      <c r="E137" s="22" t="s">
        <v>973</v>
      </c>
    </row>
    <row r="138" spans="1:5" x14ac:dyDescent="0.25">
      <c r="A138" t="s">
        <v>1122</v>
      </c>
      <c r="B138" t="s">
        <v>630</v>
      </c>
      <c r="C138" t="s">
        <v>629</v>
      </c>
      <c r="D138">
        <v>1431</v>
      </c>
      <c r="E138" s="22" t="s">
        <v>973</v>
      </c>
    </row>
    <row r="139" spans="1:5" x14ac:dyDescent="0.25">
      <c r="A139" t="s">
        <v>1123</v>
      </c>
      <c r="B139" t="s">
        <v>632</v>
      </c>
      <c r="C139" t="s">
        <v>631</v>
      </c>
      <c r="D139">
        <v>1430</v>
      </c>
      <c r="E139" s="22" t="s">
        <v>973</v>
      </c>
    </row>
    <row r="140" spans="1:5" x14ac:dyDescent="0.25">
      <c r="A140" t="s">
        <v>1124</v>
      </c>
      <c r="B140" t="s">
        <v>634</v>
      </c>
      <c r="C140" t="s">
        <v>633</v>
      </c>
      <c r="D140">
        <v>3048</v>
      </c>
      <c r="E140" s="22" t="s">
        <v>973</v>
      </c>
    </row>
    <row r="141" spans="1:5" x14ac:dyDescent="0.25">
      <c r="A141" t="s">
        <v>1125</v>
      </c>
      <c r="B141" t="s">
        <v>636</v>
      </c>
      <c r="C141" t="s">
        <v>635</v>
      </c>
      <c r="D141">
        <v>10284</v>
      </c>
      <c r="E141" s="22" t="s">
        <v>973</v>
      </c>
    </row>
    <row r="142" spans="1:5" x14ac:dyDescent="0.25">
      <c r="A142" t="s">
        <v>1126</v>
      </c>
      <c r="B142" t="s">
        <v>638</v>
      </c>
      <c r="C142" t="s">
        <v>637</v>
      </c>
      <c r="D142">
        <v>6632</v>
      </c>
      <c r="E142" s="22" t="s">
        <v>973</v>
      </c>
    </row>
    <row r="143" spans="1:5" x14ac:dyDescent="0.25">
      <c r="A143" t="s">
        <v>1127</v>
      </c>
      <c r="B143" t="s">
        <v>640</v>
      </c>
      <c r="C143" t="s">
        <v>639</v>
      </c>
      <c r="D143">
        <v>2680</v>
      </c>
      <c r="E143" s="22" t="s">
        <v>973</v>
      </c>
    </row>
    <row r="144" spans="1:5" x14ac:dyDescent="0.25">
      <c r="A144" t="s">
        <v>1128</v>
      </c>
      <c r="B144" t="s">
        <v>642</v>
      </c>
      <c r="C144" t="s">
        <v>641</v>
      </c>
      <c r="D144">
        <v>10253</v>
      </c>
      <c r="E144" s="22" t="s">
        <v>973</v>
      </c>
    </row>
    <row r="145" spans="1:5" x14ac:dyDescent="0.25">
      <c r="A145" t="s">
        <v>1129</v>
      </c>
      <c r="B145" t="s">
        <v>644</v>
      </c>
      <c r="C145" t="s">
        <v>643</v>
      </c>
      <c r="D145">
        <v>2653</v>
      </c>
      <c r="E145" s="22" t="s">
        <v>973</v>
      </c>
    </row>
    <row r="146" spans="1:5" x14ac:dyDescent="0.25">
      <c r="A146" t="s">
        <v>1130</v>
      </c>
      <c r="B146" t="s">
        <v>646</v>
      </c>
      <c r="C146" t="s">
        <v>645</v>
      </c>
      <c r="D146">
        <v>2654</v>
      </c>
      <c r="E146" s="22" t="s">
        <v>973</v>
      </c>
    </row>
    <row r="147" spans="1:5" x14ac:dyDescent="0.25">
      <c r="A147" t="s">
        <v>1131</v>
      </c>
      <c r="B147" t="s">
        <v>647</v>
      </c>
      <c r="C147" t="s">
        <v>83</v>
      </c>
      <c r="D147">
        <v>2473</v>
      </c>
      <c r="E147" s="22" t="s">
        <v>973</v>
      </c>
    </row>
    <row r="148" spans="1:5" x14ac:dyDescent="0.25">
      <c r="A148" t="s">
        <v>1132</v>
      </c>
      <c r="B148" t="s">
        <v>649</v>
      </c>
      <c r="C148" t="s">
        <v>648</v>
      </c>
      <c r="D148">
        <v>1430</v>
      </c>
      <c r="E148" s="22" t="s">
        <v>973</v>
      </c>
    </row>
    <row r="149" spans="1:5" x14ac:dyDescent="0.25">
      <c r="A149" t="s">
        <v>1133</v>
      </c>
      <c r="B149" t="s">
        <v>651</v>
      </c>
      <c r="C149" t="s">
        <v>650</v>
      </c>
      <c r="D149">
        <v>3041</v>
      </c>
      <c r="E149" s="22" t="s">
        <v>973</v>
      </c>
    </row>
    <row r="150" spans="1:5" x14ac:dyDescent="0.25">
      <c r="A150" t="s">
        <v>1134</v>
      </c>
      <c r="B150" t="s">
        <v>652</v>
      </c>
      <c r="C150" t="s">
        <v>341</v>
      </c>
      <c r="D150">
        <v>6285</v>
      </c>
      <c r="E150" s="22" t="s">
        <v>973</v>
      </c>
    </row>
    <row r="151" spans="1:5" x14ac:dyDescent="0.25">
      <c r="A151" t="s">
        <v>1135</v>
      </c>
      <c r="B151" t="s">
        <v>654</v>
      </c>
      <c r="C151" t="s">
        <v>653</v>
      </c>
      <c r="D151">
        <v>2306</v>
      </c>
      <c r="E151" s="22" t="s">
        <v>973</v>
      </c>
    </row>
    <row r="152" spans="1:5" x14ac:dyDescent="0.25">
      <c r="A152" t="s">
        <v>1136</v>
      </c>
      <c r="B152" t="s">
        <v>656</v>
      </c>
      <c r="C152" t="s">
        <v>655</v>
      </c>
      <c r="D152">
        <v>2298</v>
      </c>
      <c r="E152" s="22" t="s">
        <v>973</v>
      </c>
    </row>
    <row r="153" spans="1:5" x14ac:dyDescent="0.25">
      <c r="A153" t="s">
        <v>1137</v>
      </c>
      <c r="B153" t="s">
        <v>658</v>
      </c>
      <c r="C153" t="s">
        <v>657</v>
      </c>
      <c r="D153">
        <v>2264</v>
      </c>
      <c r="E153" s="22" t="s">
        <v>973</v>
      </c>
    </row>
    <row r="154" spans="1:5" x14ac:dyDescent="0.25">
      <c r="A154" t="s">
        <v>1138</v>
      </c>
      <c r="B154" t="s">
        <v>660</v>
      </c>
      <c r="C154" t="s">
        <v>659</v>
      </c>
      <c r="D154">
        <v>2263</v>
      </c>
      <c r="E154" s="22" t="s">
        <v>973</v>
      </c>
    </row>
    <row r="155" spans="1:5" x14ac:dyDescent="0.25">
      <c r="A155" t="s">
        <v>1139</v>
      </c>
      <c r="B155" t="s">
        <v>662</v>
      </c>
      <c r="C155" t="s">
        <v>661</v>
      </c>
      <c r="D155">
        <v>8629</v>
      </c>
      <c r="E155" s="22" t="s">
        <v>973</v>
      </c>
    </row>
    <row r="156" spans="1:5" x14ac:dyDescent="0.25">
      <c r="A156" t="s">
        <v>1140</v>
      </c>
      <c r="B156" t="s">
        <v>664</v>
      </c>
      <c r="C156" t="s">
        <v>663</v>
      </c>
      <c r="D156">
        <v>1981</v>
      </c>
      <c r="E156" s="22" t="s">
        <v>973</v>
      </c>
    </row>
    <row r="157" spans="1:5" x14ac:dyDescent="0.25">
      <c r="A157" t="s">
        <v>1141</v>
      </c>
      <c r="B157" t="s">
        <v>666</v>
      </c>
      <c r="C157" t="s">
        <v>665</v>
      </c>
      <c r="D157">
        <v>9347</v>
      </c>
      <c r="E157" s="22" t="s">
        <v>973</v>
      </c>
    </row>
    <row r="158" spans="1:5" x14ac:dyDescent="0.25">
      <c r="A158" t="s">
        <v>1142</v>
      </c>
      <c r="B158" t="s">
        <v>668</v>
      </c>
      <c r="C158" t="s">
        <v>667</v>
      </c>
      <c r="D158">
        <v>1650</v>
      </c>
      <c r="E158" s="22" t="s">
        <v>973</v>
      </c>
    </row>
    <row r="159" spans="1:5" x14ac:dyDescent="0.25">
      <c r="A159" t="s">
        <v>1143</v>
      </c>
      <c r="B159" t="s">
        <v>670</v>
      </c>
      <c r="C159" t="s">
        <v>669</v>
      </c>
      <c r="D159">
        <v>1428</v>
      </c>
      <c r="E159" s="22" t="s">
        <v>973</v>
      </c>
    </row>
    <row r="160" spans="1:5" x14ac:dyDescent="0.25">
      <c r="A160" t="s">
        <v>1144</v>
      </c>
      <c r="B160" t="s">
        <v>672</v>
      </c>
      <c r="C160" t="s">
        <v>671</v>
      </c>
      <c r="D160">
        <v>6183</v>
      </c>
      <c r="E160" s="22" t="s">
        <v>973</v>
      </c>
    </row>
    <row r="161" spans="1:5" x14ac:dyDescent="0.25">
      <c r="A161" t="s">
        <v>1145</v>
      </c>
      <c r="B161" t="s">
        <v>675</v>
      </c>
      <c r="C161" t="s">
        <v>674</v>
      </c>
      <c r="D161">
        <v>2138</v>
      </c>
      <c r="E161" s="22" t="s">
        <v>973</v>
      </c>
    </row>
    <row r="162" spans="1:5" x14ac:dyDescent="0.25">
      <c r="A162" t="s">
        <v>1146</v>
      </c>
      <c r="B162" t="s">
        <v>677</v>
      </c>
      <c r="C162" t="s">
        <v>676</v>
      </c>
      <c r="D162">
        <v>1431</v>
      </c>
      <c r="E162" s="22" t="s">
        <v>973</v>
      </c>
    </row>
    <row r="163" spans="1:5" x14ac:dyDescent="0.25">
      <c r="A163" t="s">
        <v>1147</v>
      </c>
      <c r="B163" t="s">
        <v>679</v>
      </c>
      <c r="C163" t="s">
        <v>678</v>
      </c>
      <c r="D163">
        <v>1455</v>
      </c>
      <c r="E163" s="22" t="s">
        <v>973</v>
      </c>
    </row>
    <row r="164" spans="1:5" x14ac:dyDescent="0.25">
      <c r="A164" t="s">
        <v>1148</v>
      </c>
      <c r="B164" t="s">
        <v>681</v>
      </c>
      <c r="C164" t="s">
        <v>680</v>
      </c>
      <c r="D164">
        <v>2035</v>
      </c>
      <c r="E164" s="22" t="s">
        <v>973</v>
      </c>
    </row>
    <row r="165" spans="1:5" x14ac:dyDescent="0.25">
      <c r="A165" t="s">
        <v>1149</v>
      </c>
      <c r="B165" t="s">
        <v>683</v>
      </c>
      <c r="C165" t="s">
        <v>682</v>
      </c>
      <c r="D165">
        <v>2005</v>
      </c>
      <c r="E165" s="22" t="s">
        <v>973</v>
      </c>
    </row>
    <row r="166" spans="1:5" x14ac:dyDescent="0.25">
      <c r="A166" t="s">
        <v>1150</v>
      </c>
      <c r="B166" t="s">
        <v>685</v>
      </c>
      <c r="C166" t="s">
        <v>684</v>
      </c>
      <c r="D166">
        <v>1458</v>
      </c>
      <c r="E166" s="22" t="s">
        <v>973</v>
      </c>
    </row>
    <row r="167" spans="1:5" x14ac:dyDescent="0.25">
      <c r="A167" t="s">
        <v>1151</v>
      </c>
      <c r="B167" t="s">
        <v>687</v>
      </c>
      <c r="C167" t="s">
        <v>686</v>
      </c>
      <c r="D167">
        <v>2027</v>
      </c>
      <c r="E167" s="22" t="s">
        <v>973</v>
      </c>
    </row>
    <row r="168" spans="1:5" x14ac:dyDescent="0.25">
      <c r="A168" t="s">
        <v>1152</v>
      </c>
      <c r="B168" t="s">
        <v>689</v>
      </c>
      <c r="C168" t="s">
        <v>688</v>
      </c>
      <c r="D168">
        <v>2015</v>
      </c>
      <c r="E168" s="22" t="s">
        <v>973</v>
      </c>
    </row>
    <row r="169" spans="1:5" x14ac:dyDescent="0.25">
      <c r="A169" t="s">
        <v>1153</v>
      </c>
      <c r="B169" t="s">
        <v>691</v>
      </c>
      <c r="C169" t="s">
        <v>690</v>
      </c>
      <c r="D169">
        <v>114545</v>
      </c>
      <c r="E169" s="22" t="s">
        <v>973</v>
      </c>
    </row>
    <row r="170" spans="1:5" x14ac:dyDescent="0.25">
      <c r="A170" t="s">
        <v>1154</v>
      </c>
      <c r="B170" t="s">
        <v>694</v>
      </c>
      <c r="C170" t="s">
        <v>693</v>
      </c>
      <c r="D170">
        <v>72799</v>
      </c>
      <c r="E170" s="22" t="s">
        <v>973</v>
      </c>
    </row>
    <row r="171" spans="1:5" x14ac:dyDescent="0.25">
      <c r="A171" t="s">
        <v>1155</v>
      </c>
      <c r="B171" t="s">
        <v>696</v>
      </c>
      <c r="C171" t="s">
        <v>695</v>
      </c>
      <c r="D171">
        <v>73098</v>
      </c>
      <c r="E171" s="22" t="s">
        <v>973</v>
      </c>
    </row>
    <row r="172" spans="1:5" x14ac:dyDescent="0.25">
      <c r="A172" t="s">
        <v>1156</v>
      </c>
      <c r="B172" t="s">
        <v>698</v>
      </c>
      <c r="C172" t="s">
        <v>697</v>
      </c>
      <c r="D172">
        <v>165228</v>
      </c>
      <c r="E172" s="22" t="s">
        <v>973</v>
      </c>
    </row>
    <row r="173" spans="1:5" x14ac:dyDescent="0.25">
      <c r="A173" t="s">
        <v>1157</v>
      </c>
      <c r="B173" t="s">
        <v>701</v>
      </c>
      <c r="C173" t="s">
        <v>700</v>
      </c>
      <c r="D173">
        <v>13940</v>
      </c>
      <c r="E173" s="22" t="s">
        <v>973</v>
      </c>
    </row>
    <row r="174" spans="1:5" x14ac:dyDescent="0.25">
      <c r="A174" t="s">
        <v>1158</v>
      </c>
      <c r="B174" t="s">
        <v>703</v>
      </c>
      <c r="C174" t="s">
        <v>702</v>
      </c>
      <c r="D174">
        <v>13873</v>
      </c>
      <c r="E174" s="22" t="s">
        <v>973</v>
      </c>
    </row>
    <row r="175" spans="1:5" x14ac:dyDescent="0.25">
      <c r="A175" t="s">
        <v>1159</v>
      </c>
      <c r="B175" t="s">
        <v>705</v>
      </c>
      <c r="C175" t="s">
        <v>704</v>
      </c>
      <c r="D175">
        <v>232793</v>
      </c>
      <c r="E175" s="22" t="s">
        <v>973</v>
      </c>
    </row>
    <row r="176" spans="1:5" x14ac:dyDescent="0.25">
      <c r="A176" t="s">
        <v>1160</v>
      </c>
      <c r="B176" t="s">
        <v>707</v>
      </c>
      <c r="C176" t="s">
        <v>706</v>
      </c>
      <c r="D176">
        <v>219680</v>
      </c>
      <c r="E176" s="22" t="s">
        <v>973</v>
      </c>
    </row>
    <row r="177" spans="1:5" x14ac:dyDescent="0.25">
      <c r="A177" t="s">
        <v>1161</v>
      </c>
      <c r="B177" t="s">
        <v>709</v>
      </c>
      <c r="C177" t="s">
        <v>708</v>
      </c>
      <c r="D177">
        <v>218604</v>
      </c>
      <c r="E177" s="22" t="s">
        <v>973</v>
      </c>
    </row>
    <row r="178" spans="1:5" x14ac:dyDescent="0.25">
      <c r="A178" t="s">
        <v>1162</v>
      </c>
      <c r="B178" t="s">
        <v>711</v>
      </c>
      <c r="C178" t="s">
        <v>710</v>
      </c>
      <c r="D178">
        <v>9897</v>
      </c>
      <c r="E178" s="22" t="s">
        <v>973</v>
      </c>
    </row>
    <row r="179" spans="1:5" x14ac:dyDescent="0.25">
      <c r="A179" t="s">
        <v>1163</v>
      </c>
      <c r="B179" t="s">
        <v>713</v>
      </c>
      <c r="C179" t="s">
        <v>712</v>
      </c>
      <c r="D179">
        <v>14068</v>
      </c>
      <c r="E179" s="22" t="s">
        <v>973</v>
      </c>
    </row>
    <row r="180" spans="1:5" x14ac:dyDescent="0.25">
      <c r="A180" t="s">
        <v>1164</v>
      </c>
      <c r="B180" t="s">
        <v>715</v>
      </c>
      <c r="C180" t="s">
        <v>714</v>
      </c>
      <c r="D180">
        <v>235387</v>
      </c>
      <c r="E180" s="22" t="s">
        <v>973</v>
      </c>
    </row>
    <row r="181" spans="1:5" x14ac:dyDescent="0.25">
      <c r="A181" t="s">
        <v>1165</v>
      </c>
      <c r="B181" t="s">
        <v>718</v>
      </c>
      <c r="C181" t="s">
        <v>717</v>
      </c>
      <c r="D181">
        <v>9719</v>
      </c>
      <c r="E181" s="22" t="s">
        <v>973</v>
      </c>
    </row>
    <row r="182" spans="1:5" x14ac:dyDescent="0.25">
      <c r="A182" t="s">
        <v>1166</v>
      </c>
      <c r="B182" t="s">
        <v>720</v>
      </c>
      <c r="C182" t="s">
        <v>719</v>
      </c>
      <c r="D182">
        <v>12322</v>
      </c>
      <c r="E182" s="22" t="s">
        <v>973</v>
      </c>
    </row>
    <row r="183" spans="1:5" x14ac:dyDescent="0.25">
      <c r="A183" t="s">
        <v>1167</v>
      </c>
      <c r="B183" t="s">
        <v>722</v>
      </c>
      <c r="C183" t="s">
        <v>721</v>
      </c>
      <c r="D183">
        <v>6375</v>
      </c>
      <c r="E183" s="22" t="s">
        <v>973</v>
      </c>
    </row>
    <row r="184" spans="1:5" x14ac:dyDescent="0.25">
      <c r="A184" t="s">
        <v>1168</v>
      </c>
      <c r="B184" t="s">
        <v>724</v>
      </c>
      <c r="C184" t="s">
        <v>723</v>
      </c>
      <c r="D184">
        <v>2047</v>
      </c>
      <c r="E184" s="22" t="s">
        <v>973</v>
      </c>
    </row>
    <row r="185" spans="1:5" x14ac:dyDescent="0.25">
      <c r="A185" t="s">
        <v>1169</v>
      </c>
      <c r="B185" t="s">
        <v>726</v>
      </c>
      <c r="C185" t="s">
        <v>725</v>
      </c>
      <c r="D185">
        <v>6266</v>
      </c>
      <c r="E185" s="22" t="s">
        <v>973</v>
      </c>
    </row>
    <row r="186" spans="1:5" x14ac:dyDescent="0.25">
      <c r="A186" t="s">
        <v>1170</v>
      </c>
      <c r="B186" t="s">
        <v>728</v>
      </c>
      <c r="C186" t="s">
        <v>727</v>
      </c>
      <c r="D186">
        <v>2032</v>
      </c>
      <c r="E186" s="22" t="s">
        <v>973</v>
      </c>
    </row>
    <row r="187" spans="1:5" x14ac:dyDescent="0.25">
      <c r="A187" t="s">
        <v>1171</v>
      </c>
      <c r="B187" t="s">
        <v>730</v>
      </c>
      <c r="C187" t="s">
        <v>729</v>
      </c>
      <c r="D187">
        <v>6304</v>
      </c>
      <c r="E187" s="22" t="s">
        <v>973</v>
      </c>
    </row>
    <row r="188" spans="1:5" x14ac:dyDescent="0.25">
      <c r="A188" t="s">
        <v>1172</v>
      </c>
      <c r="B188" t="s">
        <v>732</v>
      </c>
      <c r="C188" t="s">
        <v>731</v>
      </c>
      <c r="D188">
        <v>2035</v>
      </c>
      <c r="E188" s="22" t="s">
        <v>973</v>
      </c>
    </row>
    <row r="189" spans="1:5" x14ac:dyDescent="0.25">
      <c r="A189" t="s">
        <v>1173</v>
      </c>
      <c r="B189" t="s">
        <v>734</v>
      </c>
      <c r="C189" t="s">
        <v>733</v>
      </c>
      <c r="D189">
        <v>6328</v>
      </c>
      <c r="E189" s="22" t="s">
        <v>973</v>
      </c>
    </row>
    <row r="190" spans="1:5" x14ac:dyDescent="0.25">
      <c r="A190" t="s">
        <v>1174</v>
      </c>
      <c r="B190" t="s">
        <v>736</v>
      </c>
      <c r="C190" t="s">
        <v>735</v>
      </c>
      <c r="D190">
        <v>2026</v>
      </c>
      <c r="E190" s="22" t="s">
        <v>973</v>
      </c>
    </row>
    <row r="191" spans="1:5" x14ac:dyDescent="0.25">
      <c r="A191" t="s">
        <v>1175</v>
      </c>
      <c r="B191" t="s">
        <v>737</v>
      </c>
      <c r="C191" t="s">
        <v>76</v>
      </c>
      <c r="D191">
        <v>2469</v>
      </c>
      <c r="E191" s="22" t="s">
        <v>973</v>
      </c>
    </row>
    <row r="192" spans="1:5" x14ac:dyDescent="0.25">
      <c r="A192" t="s">
        <v>1176</v>
      </c>
      <c r="B192" t="s">
        <v>739</v>
      </c>
      <c r="C192" t="s">
        <v>738</v>
      </c>
      <c r="D192">
        <v>1421</v>
      </c>
      <c r="E192" s="22" t="s">
        <v>973</v>
      </c>
    </row>
    <row r="193" spans="1:5" x14ac:dyDescent="0.25">
      <c r="A193" t="s">
        <v>1177</v>
      </c>
      <c r="B193" t="s">
        <v>741</v>
      </c>
      <c r="C193" t="s">
        <v>740</v>
      </c>
      <c r="D193">
        <v>139859</v>
      </c>
      <c r="E193" s="22" t="s">
        <v>973</v>
      </c>
    </row>
    <row r="194" spans="1:5" x14ac:dyDescent="0.25">
      <c r="A194" t="s">
        <v>1178</v>
      </c>
      <c r="B194" t="s">
        <v>744</v>
      </c>
      <c r="C194" t="s">
        <v>743</v>
      </c>
      <c r="D194">
        <v>2386</v>
      </c>
      <c r="E194" s="22" t="s">
        <v>973</v>
      </c>
    </row>
    <row r="195" spans="1:5" x14ac:dyDescent="0.25">
      <c r="A195" t="s">
        <v>1179</v>
      </c>
      <c r="B195" t="s">
        <v>746</v>
      </c>
      <c r="C195" t="s">
        <v>745</v>
      </c>
      <c r="D195">
        <v>2391</v>
      </c>
      <c r="E195" s="22" t="s">
        <v>973</v>
      </c>
    </row>
    <row r="196" spans="1:5" x14ac:dyDescent="0.25">
      <c r="A196" t="s">
        <v>1180</v>
      </c>
      <c r="B196" t="s">
        <v>748</v>
      </c>
      <c r="C196" t="s">
        <v>747</v>
      </c>
      <c r="D196">
        <v>85827</v>
      </c>
      <c r="E196" s="22" t="s">
        <v>973</v>
      </c>
    </row>
    <row r="197" spans="1:5" x14ac:dyDescent="0.25">
      <c r="A197" t="s">
        <v>1181</v>
      </c>
      <c r="B197" t="s">
        <v>751</v>
      </c>
      <c r="C197" t="s">
        <v>750</v>
      </c>
      <c r="D197">
        <v>111549</v>
      </c>
      <c r="E197" s="22" t="s">
        <v>973</v>
      </c>
    </row>
    <row r="198" spans="1:5" x14ac:dyDescent="0.25">
      <c r="A198" t="s">
        <v>1182</v>
      </c>
      <c r="B198" t="s">
        <v>753</v>
      </c>
      <c r="C198" t="s">
        <v>752</v>
      </c>
      <c r="D198">
        <v>112064</v>
      </c>
      <c r="E198" s="22" t="s">
        <v>973</v>
      </c>
    </row>
    <row r="199" spans="1:5" x14ac:dyDescent="0.25">
      <c r="A199" t="s">
        <v>1183</v>
      </c>
      <c r="B199" t="s">
        <v>755</v>
      </c>
      <c r="C199" t="s">
        <v>754</v>
      </c>
      <c r="D199">
        <v>6329</v>
      </c>
      <c r="E199" s="22" t="s">
        <v>973</v>
      </c>
    </row>
    <row r="200" spans="1:5" x14ac:dyDescent="0.25">
      <c r="A200" t="s">
        <v>1184</v>
      </c>
      <c r="B200" t="s">
        <v>757</v>
      </c>
      <c r="C200" t="s">
        <v>756</v>
      </c>
      <c r="D200">
        <v>155544</v>
      </c>
      <c r="E200" s="22" t="s">
        <v>973</v>
      </c>
    </row>
    <row r="201" spans="1:5" x14ac:dyDescent="0.25">
      <c r="A201" t="s">
        <v>1185</v>
      </c>
      <c r="B201" t="s">
        <v>759</v>
      </c>
      <c r="C201" t="s">
        <v>758</v>
      </c>
      <c r="D201">
        <v>154974</v>
      </c>
      <c r="E201" s="22" t="s">
        <v>973</v>
      </c>
    </row>
    <row r="202" spans="1:5" x14ac:dyDescent="0.25">
      <c r="A202" t="s">
        <v>1186</v>
      </c>
      <c r="B202" t="s">
        <v>761</v>
      </c>
      <c r="C202" t="s">
        <v>760</v>
      </c>
      <c r="D202">
        <v>10754</v>
      </c>
      <c r="E202" s="22" t="s">
        <v>973</v>
      </c>
    </row>
    <row r="203" spans="1:5" x14ac:dyDescent="0.25">
      <c r="A203" t="s">
        <v>1187</v>
      </c>
      <c r="B203" t="s">
        <v>763</v>
      </c>
      <c r="C203" t="s">
        <v>762</v>
      </c>
      <c r="D203">
        <v>1429</v>
      </c>
      <c r="E203" s="22" t="s">
        <v>973</v>
      </c>
    </row>
    <row r="204" spans="1:5" x14ac:dyDescent="0.25">
      <c r="A204" t="s">
        <v>1188</v>
      </c>
      <c r="B204" t="s">
        <v>765</v>
      </c>
      <c r="C204" t="s">
        <v>764</v>
      </c>
      <c r="D204">
        <v>10575</v>
      </c>
      <c r="E204" s="22" t="s">
        <v>973</v>
      </c>
    </row>
    <row r="205" spans="1:5" x14ac:dyDescent="0.25">
      <c r="A205" t="s">
        <v>1189</v>
      </c>
      <c r="B205" t="s">
        <v>767</v>
      </c>
      <c r="C205" t="s">
        <v>766</v>
      </c>
      <c r="D205">
        <v>1430</v>
      </c>
      <c r="E205" s="22" t="s">
        <v>973</v>
      </c>
    </row>
    <row r="206" spans="1:5" x14ac:dyDescent="0.25">
      <c r="A206" t="s">
        <v>1190</v>
      </c>
      <c r="B206" t="s">
        <v>769</v>
      </c>
      <c r="C206" t="s">
        <v>768</v>
      </c>
      <c r="D206">
        <v>10185</v>
      </c>
      <c r="E206" s="22" t="s">
        <v>973</v>
      </c>
    </row>
    <row r="207" spans="1:5" x14ac:dyDescent="0.25">
      <c r="A207" t="s">
        <v>1191</v>
      </c>
      <c r="B207" t="s">
        <v>771</v>
      </c>
      <c r="C207" t="s">
        <v>770</v>
      </c>
      <c r="D207">
        <v>1428</v>
      </c>
      <c r="E207" s="22" t="s">
        <v>973</v>
      </c>
    </row>
    <row r="208" spans="1:5" x14ac:dyDescent="0.25">
      <c r="A208" t="s">
        <v>1192</v>
      </c>
      <c r="B208" t="s">
        <v>773</v>
      </c>
      <c r="C208" t="s">
        <v>772</v>
      </c>
      <c r="D208">
        <v>10188</v>
      </c>
      <c r="E208" s="22" t="s">
        <v>973</v>
      </c>
    </row>
    <row r="209" spans="1:5" x14ac:dyDescent="0.25">
      <c r="A209" t="s">
        <v>1193</v>
      </c>
      <c r="B209" t="s">
        <v>775</v>
      </c>
      <c r="C209" t="s">
        <v>774</v>
      </c>
      <c r="D209">
        <v>1429</v>
      </c>
      <c r="E209" s="22" t="s">
        <v>973</v>
      </c>
    </row>
    <row r="210" spans="1:5" x14ac:dyDescent="0.25">
      <c r="A210" t="s">
        <v>1194</v>
      </c>
      <c r="B210" t="s">
        <v>777</v>
      </c>
      <c r="C210" t="s">
        <v>776</v>
      </c>
      <c r="D210">
        <v>7784</v>
      </c>
      <c r="E210" s="22" t="s">
        <v>973</v>
      </c>
    </row>
    <row r="211" spans="1:5" x14ac:dyDescent="0.25">
      <c r="A211" t="s">
        <v>1195</v>
      </c>
      <c r="B211" t="s">
        <v>780</v>
      </c>
      <c r="C211" t="s">
        <v>779</v>
      </c>
      <c r="D211">
        <v>7894</v>
      </c>
      <c r="E211" s="22" t="s">
        <v>973</v>
      </c>
    </row>
    <row r="212" spans="1:5" x14ac:dyDescent="0.25">
      <c r="A212" t="s">
        <v>1196</v>
      </c>
      <c r="B212" t="s">
        <v>783</v>
      </c>
      <c r="C212" t="s">
        <v>782</v>
      </c>
      <c r="D212">
        <v>6308</v>
      </c>
      <c r="E212" s="22" t="s">
        <v>973</v>
      </c>
    </row>
    <row r="213" spans="1:5" x14ac:dyDescent="0.25">
      <c r="A213" t="s">
        <v>1197</v>
      </c>
      <c r="B213" t="s">
        <v>785</v>
      </c>
      <c r="C213" t="s">
        <v>784</v>
      </c>
      <c r="D213">
        <v>2022</v>
      </c>
      <c r="E213" s="22" t="s">
        <v>973</v>
      </c>
    </row>
    <row r="214" spans="1:5" x14ac:dyDescent="0.25">
      <c r="A214" t="s">
        <v>1198</v>
      </c>
      <c r="B214" t="s">
        <v>787</v>
      </c>
      <c r="C214" t="s">
        <v>786</v>
      </c>
      <c r="D214">
        <v>6318</v>
      </c>
      <c r="E214" s="22" t="s">
        <v>973</v>
      </c>
    </row>
    <row r="215" spans="1:5" x14ac:dyDescent="0.25">
      <c r="A215" t="s">
        <v>1199</v>
      </c>
      <c r="B215" t="s">
        <v>789</v>
      </c>
      <c r="C215" t="s">
        <v>788</v>
      </c>
      <c r="D215">
        <v>2005</v>
      </c>
      <c r="E215" s="22" t="s">
        <v>973</v>
      </c>
    </row>
    <row r="216" spans="1:5" x14ac:dyDescent="0.25">
      <c r="A216" t="s">
        <v>1200</v>
      </c>
      <c r="B216" t="s">
        <v>791</v>
      </c>
      <c r="C216" t="s">
        <v>790</v>
      </c>
      <c r="D216">
        <v>5629</v>
      </c>
      <c r="E216" s="22" t="s">
        <v>973</v>
      </c>
    </row>
    <row r="217" spans="1:5" x14ac:dyDescent="0.25">
      <c r="A217" t="s">
        <v>1201</v>
      </c>
      <c r="B217" t="s">
        <v>794</v>
      </c>
      <c r="C217" t="s">
        <v>793</v>
      </c>
      <c r="D217">
        <v>89501</v>
      </c>
      <c r="E217" s="22" t="s">
        <v>973</v>
      </c>
    </row>
    <row r="218" spans="1:5" x14ac:dyDescent="0.25">
      <c r="A218" t="s">
        <v>1202</v>
      </c>
      <c r="B218" t="s">
        <v>796</v>
      </c>
      <c r="C218" t="s">
        <v>795</v>
      </c>
      <c r="D218">
        <v>7792</v>
      </c>
      <c r="E218" s="22" t="s">
        <v>973</v>
      </c>
    </row>
    <row r="219" spans="1:5" x14ac:dyDescent="0.25">
      <c r="A219" t="s">
        <v>1203</v>
      </c>
      <c r="B219" t="s">
        <v>798</v>
      </c>
      <c r="C219" t="s">
        <v>797</v>
      </c>
      <c r="D219">
        <v>7752</v>
      </c>
      <c r="E219" s="22" t="s">
        <v>973</v>
      </c>
    </row>
    <row r="220" spans="1:5" x14ac:dyDescent="0.25">
      <c r="A220" t="s">
        <v>1204</v>
      </c>
      <c r="B220" t="s">
        <v>800</v>
      </c>
      <c r="C220" t="s">
        <v>799</v>
      </c>
      <c r="D220">
        <v>69697</v>
      </c>
      <c r="E220" s="22" t="s">
        <v>973</v>
      </c>
    </row>
    <row r="221" spans="1:5" x14ac:dyDescent="0.25">
      <c r="A221" t="s">
        <v>1205</v>
      </c>
      <c r="B221" t="s">
        <v>803</v>
      </c>
      <c r="C221" t="s">
        <v>802</v>
      </c>
      <c r="D221">
        <v>42460</v>
      </c>
      <c r="E221" s="22" t="s">
        <v>973</v>
      </c>
    </row>
    <row r="222" spans="1:5" x14ac:dyDescent="0.25">
      <c r="A222" t="s">
        <v>1206</v>
      </c>
      <c r="B222" t="s">
        <v>805</v>
      </c>
      <c r="C222" t="s">
        <v>804</v>
      </c>
      <c r="D222">
        <v>42707</v>
      </c>
      <c r="E222" s="22" t="s">
        <v>973</v>
      </c>
    </row>
    <row r="223" spans="1:5" x14ac:dyDescent="0.25">
      <c r="A223" t="s">
        <v>1207</v>
      </c>
      <c r="B223" t="s">
        <v>807</v>
      </c>
      <c r="C223" t="s">
        <v>806</v>
      </c>
      <c r="D223">
        <v>98033</v>
      </c>
      <c r="E223" s="22" t="s">
        <v>973</v>
      </c>
    </row>
    <row r="224" spans="1:5" x14ac:dyDescent="0.25">
      <c r="A224" t="s">
        <v>1208</v>
      </c>
      <c r="B224" t="s">
        <v>810</v>
      </c>
      <c r="C224" t="s">
        <v>809</v>
      </c>
      <c r="D224">
        <v>135914</v>
      </c>
      <c r="E224" s="22" t="s">
        <v>973</v>
      </c>
    </row>
    <row r="225" spans="1:5" x14ac:dyDescent="0.25">
      <c r="A225" t="s">
        <v>1209</v>
      </c>
      <c r="B225" t="s">
        <v>812</v>
      </c>
      <c r="C225" t="s">
        <v>811</v>
      </c>
      <c r="D225">
        <v>137085</v>
      </c>
      <c r="E225" s="22" t="s">
        <v>973</v>
      </c>
    </row>
    <row r="226" spans="1:5" x14ac:dyDescent="0.25">
      <c r="A226" t="s">
        <v>1210</v>
      </c>
      <c r="B226" t="s">
        <v>813</v>
      </c>
      <c r="C226" t="s">
        <v>283</v>
      </c>
      <c r="D226">
        <v>36715</v>
      </c>
      <c r="E226" s="22" t="s">
        <v>973</v>
      </c>
    </row>
    <row r="227" spans="1:5" x14ac:dyDescent="0.25">
      <c r="A227" t="s">
        <v>1211</v>
      </c>
      <c r="B227" t="s">
        <v>816</v>
      </c>
      <c r="C227" t="s">
        <v>815</v>
      </c>
      <c r="D227">
        <v>36710</v>
      </c>
      <c r="E227" s="22" t="s">
        <v>973</v>
      </c>
    </row>
    <row r="228" spans="1:5" x14ac:dyDescent="0.25">
      <c r="A228" t="s">
        <v>1212</v>
      </c>
      <c r="B228" t="s">
        <v>818</v>
      </c>
      <c r="C228" t="s">
        <v>817</v>
      </c>
      <c r="D228">
        <v>11795</v>
      </c>
      <c r="E228" s="22" t="s">
        <v>973</v>
      </c>
    </row>
    <row r="229" spans="1:5" x14ac:dyDescent="0.25">
      <c r="A229" t="s">
        <v>1213</v>
      </c>
      <c r="B229" t="s">
        <v>820</v>
      </c>
      <c r="C229" t="s">
        <v>819</v>
      </c>
      <c r="D229">
        <v>12660</v>
      </c>
      <c r="E229" s="22" t="s">
        <v>973</v>
      </c>
    </row>
    <row r="230" spans="1:5" x14ac:dyDescent="0.25">
      <c r="A230" t="s">
        <v>1214</v>
      </c>
      <c r="B230" t="s">
        <v>822</v>
      </c>
      <c r="C230" t="s">
        <v>821</v>
      </c>
      <c r="D230">
        <v>46359</v>
      </c>
      <c r="E230" s="22" t="s">
        <v>973</v>
      </c>
    </row>
    <row r="231" spans="1:5" x14ac:dyDescent="0.25">
      <c r="A231" t="s">
        <v>1215</v>
      </c>
      <c r="B231" t="s">
        <v>824</v>
      </c>
      <c r="C231" t="s">
        <v>823</v>
      </c>
      <c r="D231">
        <v>12600</v>
      </c>
      <c r="E231" s="22" t="s">
        <v>973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Scalextric bandelar</vt:lpstr>
      <vt:lpstr>Översikt</vt:lpstr>
      <vt:lpstr>Master-katalog</vt:lpstr>
      <vt:lpstr>Inventering</vt:lpstr>
      <vt:lpstr>Mappning</vt:lpstr>
      <vt:lpstr>LAY-koder</vt:lpstr>
      <vt:lpstr>Bibliotek buttons-x</vt:lpstr>
      <vt:lpstr>Ej ägda men stödda</vt:lpstr>
      <vt:lpstr>3MF-bibliotek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Björn Edwall</dc:creator>
  <cp:lastModifiedBy>Björn Edwall</cp:lastModifiedBy>
  <dcterms:created xsi:type="dcterms:W3CDTF">2026-06-21T10:44:56Z</dcterms:created>
  <dcterms:modified xsi:type="dcterms:W3CDTF">2026-06-21T10:44:56Z</dcterms:modified>
</cp:coreProperties>
</file>